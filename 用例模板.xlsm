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yData\linjin4\Downloads\Selenium_UIAT_V5_201911\"/>
    </mc:Choice>
  </mc:AlternateContent>
  <bookViews>
    <workbookView xWindow="0" yWindow="540" windowWidth="15090" windowHeight="6470" tabRatio="802" activeTab="7"/>
  </bookViews>
  <sheets>
    <sheet name="总表" sheetId="16" r:id="rId1"/>
    <sheet name="Actions" sheetId="13" r:id="rId2"/>
    <sheet name="PageObjects" sheetId="7" r:id="rId3"/>
    <sheet name="Examples" sheetId="12" r:id="rId4"/>
    <sheet name="CommonCase" sheetId="14" r:id="rId5"/>
    <sheet name="TestDemo1" sheetId="17" r:id="rId6"/>
    <sheet name="test" sheetId="21" r:id="rId7"/>
    <sheet name="GPM" sheetId="19" r:id="rId8"/>
  </sheets>
  <functionGroups builtInGroupCount="18"/>
  <definedNames>
    <definedName name="_xlnm._FilterDatabase" localSheetId="3" hidden="1">Examples!$A$2:$T$5</definedName>
    <definedName name="_xlnm._FilterDatabase" localSheetId="2" hidden="1">PageObjects!$A$2:$A$326</definedName>
  </definedNames>
  <calcPr calcId="162913"/>
</workbook>
</file>

<file path=xl/calcChain.xml><?xml version="1.0" encoding="utf-8"?>
<calcChain xmlns="http://schemas.openxmlformats.org/spreadsheetml/2006/main">
  <c r="G33" i="13" l="1"/>
  <c r="B8" i="16" l="1"/>
  <c r="B7" i="16"/>
  <c r="B6" i="16"/>
  <c r="C1" i="21"/>
  <c r="G32" i="13" l="1"/>
  <c r="G34" i="13" l="1"/>
  <c r="G31" i="13"/>
  <c r="G30" i="13" l="1"/>
  <c r="G29" i="13" l="1"/>
  <c r="G10" i="13" l="1"/>
  <c r="C1" i="19" l="1"/>
  <c r="C1" i="17" l="1"/>
  <c r="D1505" i="16" l="1"/>
  <c r="D1504" i="16"/>
  <c r="D1503" i="16"/>
  <c r="D1502" i="16"/>
  <c r="D1501" i="16"/>
  <c r="D1500" i="16"/>
  <c r="D1499" i="16"/>
  <c r="D1498" i="16"/>
  <c r="D1497" i="16"/>
  <c r="D1496" i="16"/>
  <c r="D1495" i="16"/>
  <c r="D1494" i="16"/>
  <c r="D1493" i="16"/>
  <c r="D1492" i="16"/>
  <c r="D1491" i="16"/>
  <c r="D1490" i="16"/>
  <c r="D1489" i="16"/>
  <c r="D1488" i="16"/>
  <c r="D1487" i="16"/>
  <c r="D1486" i="16"/>
  <c r="D1485" i="16"/>
  <c r="D1484" i="16"/>
  <c r="D1483" i="16"/>
  <c r="D1482" i="16"/>
  <c r="D1481" i="16"/>
  <c r="D1480" i="16"/>
  <c r="D1479" i="16"/>
  <c r="D1478" i="16"/>
  <c r="D1477" i="16"/>
  <c r="D1476" i="16"/>
  <c r="D1475" i="16"/>
  <c r="D1474" i="16"/>
  <c r="D1473" i="16"/>
  <c r="D1472" i="16"/>
  <c r="D1471" i="16"/>
  <c r="D1470" i="16"/>
  <c r="D1469" i="16"/>
  <c r="D1468" i="16"/>
  <c r="D1467" i="16"/>
  <c r="D1466" i="16"/>
  <c r="D1465" i="16"/>
  <c r="D1464" i="16"/>
  <c r="D1463" i="16"/>
  <c r="D1462" i="16"/>
  <c r="D1461" i="16"/>
  <c r="D1460" i="16"/>
  <c r="D1459" i="16"/>
  <c r="D1458" i="16"/>
  <c r="D1457" i="16"/>
  <c r="D1456" i="16"/>
  <c r="D1455" i="16"/>
  <c r="D1454" i="16"/>
  <c r="D1453" i="16"/>
  <c r="D1452" i="16"/>
  <c r="D1451" i="16"/>
  <c r="D1450" i="16"/>
  <c r="D1449" i="16"/>
  <c r="D1448" i="16"/>
  <c r="D1447" i="16"/>
  <c r="D1446" i="16"/>
  <c r="D1445" i="16"/>
  <c r="D1444" i="16"/>
  <c r="D1443" i="16"/>
  <c r="D1442" i="16"/>
  <c r="D1441" i="16"/>
  <c r="D1440" i="16"/>
  <c r="D1439" i="16"/>
  <c r="D1438" i="16"/>
  <c r="D1437" i="16"/>
  <c r="D1436" i="16"/>
  <c r="D1435" i="16"/>
  <c r="D1434" i="16"/>
  <c r="D1433" i="16"/>
  <c r="D1432" i="16"/>
  <c r="D1431" i="16"/>
  <c r="D1430" i="16"/>
  <c r="D1429" i="16"/>
  <c r="D1428" i="16"/>
  <c r="D1427" i="16"/>
  <c r="D1426" i="16"/>
  <c r="D1425" i="16"/>
  <c r="D1424" i="16"/>
  <c r="D1423" i="16"/>
  <c r="D1422" i="16"/>
  <c r="D1421" i="16"/>
  <c r="D1420" i="16"/>
  <c r="D1419" i="16"/>
  <c r="D1418" i="16"/>
  <c r="D1417" i="16"/>
  <c r="D1416" i="16"/>
  <c r="D1415" i="16"/>
  <c r="D1414" i="16"/>
  <c r="D1413" i="16"/>
  <c r="D1412" i="16"/>
  <c r="D1411" i="16"/>
  <c r="D1410" i="16"/>
  <c r="D1409" i="16"/>
  <c r="D1408" i="16"/>
  <c r="D1407" i="16"/>
  <c r="D1406" i="16"/>
  <c r="D1405" i="16"/>
  <c r="D1404" i="16"/>
  <c r="D1403" i="16"/>
  <c r="D1402" i="16"/>
  <c r="D1401" i="16"/>
  <c r="D1400" i="16"/>
  <c r="D1399" i="16"/>
  <c r="D1398" i="16"/>
  <c r="D1397" i="16"/>
  <c r="D1396" i="16"/>
  <c r="D1395" i="16"/>
  <c r="D1394" i="16"/>
  <c r="D1393" i="16"/>
  <c r="D1392" i="16"/>
  <c r="D1391" i="16"/>
  <c r="D1390" i="16"/>
  <c r="D1389" i="16"/>
  <c r="D1388" i="16"/>
  <c r="D1387" i="16"/>
  <c r="D1386" i="16"/>
  <c r="D1385" i="16"/>
  <c r="D1384" i="16"/>
  <c r="D1383" i="16"/>
  <c r="D1382" i="16"/>
  <c r="D1381" i="16"/>
  <c r="D1380" i="16"/>
  <c r="D1379" i="16"/>
  <c r="D1378" i="16"/>
  <c r="D1377" i="16"/>
  <c r="D1376" i="16"/>
  <c r="D1375" i="16"/>
  <c r="D1374" i="16"/>
  <c r="D1373" i="16"/>
  <c r="D1372" i="16"/>
  <c r="D1371" i="16"/>
  <c r="D1370" i="16"/>
  <c r="D1369" i="16"/>
  <c r="D1368" i="16"/>
  <c r="D1367" i="16"/>
  <c r="D1366" i="16"/>
  <c r="D1365" i="16"/>
  <c r="D1364" i="16"/>
  <c r="D1363" i="16"/>
  <c r="D1362" i="16"/>
  <c r="D1361" i="16"/>
  <c r="D1360" i="16"/>
  <c r="D1359" i="16"/>
  <c r="D1358" i="16"/>
  <c r="D1357" i="16"/>
  <c r="D1356" i="16"/>
  <c r="D1355" i="16"/>
  <c r="D1354" i="16"/>
  <c r="D1353" i="16"/>
  <c r="D1352" i="16"/>
  <c r="D1351" i="16"/>
  <c r="D1350" i="16"/>
  <c r="D1349" i="16"/>
  <c r="D1348" i="16"/>
  <c r="D1347" i="16"/>
  <c r="D1346" i="16"/>
  <c r="D1345" i="16"/>
  <c r="D1344" i="16"/>
  <c r="D1343" i="16"/>
  <c r="D1342" i="16"/>
  <c r="D1341" i="16"/>
  <c r="D1340" i="16"/>
  <c r="D1339" i="16"/>
  <c r="D1338" i="16"/>
  <c r="D1337" i="16"/>
  <c r="D1336" i="16"/>
  <c r="D1335" i="16"/>
  <c r="D1334" i="16"/>
  <c r="D1333" i="16"/>
  <c r="D1332" i="16"/>
  <c r="D1331" i="16"/>
  <c r="D1330" i="16"/>
  <c r="D1329" i="16"/>
  <c r="D1328" i="16"/>
  <c r="D1327" i="16"/>
  <c r="D1326" i="16"/>
  <c r="D1325" i="16"/>
  <c r="D1324" i="16"/>
  <c r="D1323" i="16"/>
  <c r="D1322" i="16"/>
  <c r="D1321" i="16"/>
  <c r="D1320" i="16"/>
  <c r="D1319" i="16"/>
  <c r="D1318" i="16"/>
  <c r="D1317" i="16"/>
  <c r="D1316" i="16"/>
  <c r="D1315" i="16"/>
  <c r="D1314" i="16"/>
  <c r="D1313" i="16"/>
  <c r="D1312" i="16"/>
  <c r="D1311" i="16"/>
  <c r="D1310" i="16"/>
  <c r="D1309" i="16"/>
  <c r="D1308" i="16"/>
  <c r="D1307" i="16"/>
  <c r="D1306" i="16"/>
  <c r="D1305" i="16"/>
  <c r="D1304" i="16"/>
  <c r="D1303" i="16"/>
  <c r="D1302" i="16"/>
  <c r="D1301" i="16"/>
  <c r="D1300" i="16"/>
  <c r="D1299" i="16"/>
  <c r="D1298" i="16"/>
  <c r="D1297" i="16"/>
  <c r="D1296" i="16"/>
  <c r="D1295" i="16"/>
  <c r="D1294" i="16"/>
  <c r="D1293" i="16"/>
  <c r="D1292" i="16"/>
  <c r="D1291" i="16"/>
  <c r="D1290" i="16"/>
  <c r="D1289" i="16"/>
  <c r="D1288" i="16"/>
  <c r="D1287" i="16"/>
  <c r="D1286" i="16"/>
  <c r="D1285" i="16"/>
  <c r="D1284" i="16"/>
  <c r="D1283" i="16"/>
  <c r="D1282" i="16"/>
  <c r="D1281" i="16"/>
  <c r="D1280" i="16"/>
  <c r="D1279" i="16"/>
  <c r="D1278" i="16"/>
  <c r="D1277" i="16"/>
  <c r="D1276" i="16"/>
  <c r="D1275" i="16"/>
  <c r="D1274" i="16"/>
  <c r="D1273" i="16"/>
  <c r="D1272" i="16"/>
  <c r="D1271" i="16"/>
  <c r="D1270" i="16"/>
  <c r="D1269" i="16"/>
  <c r="D1268" i="16"/>
  <c r="D1267" i="16"/>
  <c r="D1266" i="16"/>
  <c r="D1265" i="16"/>
  <c r="D1264" i="16"/>
  <c r="D1263" i="16"/>
  <c r="D1262" i="16"/>
  <c r="D1261" i="16"/>
  <c r="D1260" i="16"/>
  <c r="D1259" i="16"/>
  <c r="D1258" i="16"/>
  <c r="D1257" i="16"/>
  <c r="D1256" i="16"/>
  <c r="D1255" i="16"/>
  <c r="D1254" i="16"/>
  <c r="D1253" i="16"/>
  <c r="D1252" i="16"/>
  <c r="D1251" i="16"/>
  <c r="D1250" i="16"/>
  <c r="D1249" i="16"/>
  <c r="D1248" i="16"/>
  <c r="D1247" i="16"/>
  <c r="D1246" i="16"/>
  <c r="D1245" i="16"/>
  <c r="D1244" i="16"/>
  <c r="D1243" i="16"/>
  <c r="D1242" i="16"/>
  <c r="D1241" i="16"/>
  <c r="D1240" i="16"/>
  <c r="D1239" i="16"/>
  <c r="D1238" i="16"/>
  <c r="D1237" i="16"/>
  <c r="D1236" i="16"/>
  <c r="D1235" i="16"/>
  <c r="D1234" i="16"/>
  <c r="D1233" i="16"/>
  <c r="D1232" i="16"/>
  <c r="D1231" i="16"/>
  <c r="D1230" i="16"/>
  <c r="D1229" i="16"/>
  <c r="D1228" i="16"/>
  <c r="D1227" i="16"/>
  <c r="D1226" i="16"/>
  <c r="D1225" i="16"/>
  <c r="D1224" i="16"/>
  <c r="D1223" i="16"/>
  <c r="D1222" i="16"/>
  <c r="D1221" i="16"/>
  <c r="D1220" i="16"/>
  <c r="D1219" i="16"/>
  <c r="D1218" i="16"/>
  <c r="D1217" i="16"/>
  <c r="D1216" i="16"/>
  <c r="D1215" i="16"/>
  <c r="D1214" i="16"/>
  <c r="D1213" i="16"/>
  <c r="D1212" i="16"/>
  <c r="D1211" i="16"/>
  <c r="D1210" i="16"/>
  <c r="D1209" i="16"/>
  <c r="D1208" i="16"/>
  <c r="D1207" i="16"/>
  <c r="D1206" i="16"/>
  <c r="D1205" i="16"/>
  <c r="D1204" i="16"/>
  <c r="D1203" i="16"/>
  <c r="D1202" i="16"/>
  <c r="D1201" i="16"/>
  <c r="D1200" i="16"/>
  <c r="D1199" i="16"/>
  <c r="D1198" i="16"/>
  <c r="D1197" i="16"/>
  <c r="D1196" i="16"/>
  <c r="D1195" i="16"/>
  <c r="D1194" i="16"/>
  <c r="D1193" i="16"/>
  <c r="D1192" i="16"/>
  <c r="D1191" i="16"/>
  <c r="D1190" i="16"/>
  <c r="D1189" i="16"/>
  <c r="D1188" i="16"/>
  <c r="D1187" i="16"/>
  <c r="D1186" i="16"/>
  <c r="D1185" i="16"/>
  <c r="D1184" i="16"/>
  <c r="D1183" i="16"/>
  <c r="D1182" i="16"/>
  <c r="D1181" i="16"/>
  <c r="D1180" i="16"/>
  <c r="D1179" i="16"/>
  <c r="D1178" i="16"/>
  <c r="D1177" i="16"/>
  <c r="D1176" i="16"/>
  <c r="D1175" i="16"/>
  <c r="D1174" i="16"/>
  <c r="D1173" i="16"/>
  <c r="D1172" i="16"/>
  <c r="D1171" i="16"/>
  <c r="D1170" i="16"/>
  <c r="D1169" i="16"/>
  <c r="D1168" i="16"/>
  <c r="D1167" i="16"/>
  <c r="D1166" i="16"/>
  <c r="D1165" i="16"/>
  <c r="D1164" i="16"/>
  <c r="D1163" i="16"/>
  <c r="D1162" i="16"/>
  <c r="D1161" i="16"/>
  <c r="D1160" i="16"/>
  <c r="D1159" i="16"/>
  <c r="D1158" i="16"/>
  <c r="D1157" i="16"/>
  <c r="D1156" i="16"/>
  <c r="D1155" i="16"/>
  <c r="D1154" i="16"/>
  <c r="D1153" i="16"/>
  <c r="D1152" i="16"/>
  <c r="D1151" i="16"/>
  <c r="D1150" i="16"/>
  <c r="D1149" i="16"/>
  <c r="D1148" i="16"/>
  <c r="D1147" i="16"/>
  <c r="D1146" i="16"/>
  <c r="D1145" i="16"/>
  <c r="D1144" i="16"/>
  <c r="D1143" i="16"/>
  <c r="D1142" i="16"/>
  <c r="D1141" i="16"/>
  <c r="D1140" i="16"/>
  <c r="D1139" i="16"/>
  <c r="D1138" i="16"/>
  <c r="D1137" i="16"/>
  <c r="D1136" i="16"/>
  <c r="D1135" i="16"/>
  <c r="D1134" i="16"/>
  <c r="D1133" i="16"/>
  <c r="D1132" i="16"/>
  <c r="D1131" i="16"/>
  <c r="D1130" i="16"/>
  <c r="D1129" i="16"/>
  <c r="D1128" i="16"/>
  <c r="D1127" i="16"/>
  <c r="D1126" i="16"/>
  <c r="D1125" i="16"/>
  <c r="D1124" i="16"/>
  <c r="D1123" i="16"/>
  <c r="D1122" i="16"/>
  <c r="D1121" i="16"/>
  <c r="D1120" i="16"/>
  <c r="D1119" i="16"/>
  <c r="D1118" i="16"/>
  <c r="D1117" i="16"/>
  <c r="D1116" i="16"/>
  <c r="D1115" i="16"/>
  <c r="D1114" i="16"/>
  <c r="D1113" i="16"/>
  <c r="D1112" i="16"/>
  <c r="D1111" i="16"/>
  <c r="D1110" i="16"/>
  <c r="D1109" i="16"/>
  <c r="D1108" i="16"/>
  <c r="D1107" i="16"/>
  <c r="D1106" i="16"/>
  <c r="D1105" i="16"/>
  <c r="D1104" i="16"/>
  <c r="D1103" i="16"/>
  <c r="D1102" i="16"/>
  <c r="D1101" i="16"/>
  <c r="D1100" i="16"/>
  <c r="D1099" i="16"/>
  <c r="D1098" i="16"/>
  <c r="D1097" i="16"/>
  <c r="D1096" i="16"/>
  <c r="D1095" i="16"/>
  <c r="D1094" i="16"/>
  <c r="D1093" i="16"/>
  <c r="D1092" i="16"/>
  <c r="D1091" i="16"/>
  <c r="D1090" i="16"/>
  <c r="D1089" i="16"/>
  <c r="D1088" i="16"/>
  <c r="D1087" i="16"/>
  <c r="D1086" i="16"/>
  <c r="D1085" i="16"/>
  <c r="D1084" i="16"/>
  <c r="D1083" i="16"/>
  <c r="D1082" i="16"/>
  <c r="D1081" i="16"/>
  <c r="D1080" i="16"/>
  <c r="D1079" i="16"/>
  <c r="D1078" i="16"/>
  <c r="D1077" i="16"/>
  <c r="D1076" i="16"/>
  <c r="D1075" i="16"/>
  <c r="D1074" i="16"/>
  <c r="D1073" i="16"/>
  <c r="D1072" i="16"/>
  <c r="D1071" i="16"/>
  <c r="D1070" i="16"/>
  <c r="D1069" i="16"/>
  <c r="D1068" i="16"/>
  <c r="D1067" i="16"/>
  <c r="D1066" i="16"/>
  <c r="D1065" i="16"/>
  <c r="D1064" i="16"/>
  <c r="D1063" i="16"/>
  <c r="D1062" i="16"/>
  <c r="D1061" i="16"/>
  <c r="D1060" i="16"/>
  <c r="D1059" i="16"/>
  <c r="D1058" i="16"/>
  <c r="D1057" i="16"/>
  <c r="D1056" i="16"/>
  <c r="D1055" i="16"/>
  <c r="D1054" i="16"/>
  <c r="D1053" i="16"/>
  <c r="D1052" i="16"/>
  <c r="D1051" i="16"/>
  <c r="D1050" i="16"/>
  <c r="D1049" i="16"/>
  <c r="D1048" i="16"/>
  <c r="D1047" i="16"/>
  <c r="D1046" i="16"/>
  <c r="D1045" i="16"/>
  <c r="D1044" i="16"/>
  <c r="D1043" i="16"/>
  <c r="D1042" i="16"/>
  <c r="D1041" i="16"/>
  <c r="D1040" i="16"/>
  <c r="D1039" i="16"/>
  <c r="D1038" i="16"/>
  <c r="D1037" i="16"/>
  <c r="D1036" i="16"/>
  <c r="D1035" i="16"/>
  <c r="D1034" i="16"/>
  <c r="D1033" i="16"/>
  <c r="D1032" i="16"/>
  <c r="D1031" i="16"/>
  <c r="D1030" i="16"/>
  <c r="D1029" i="16"/>
  <c r="D1028" i="16"/>
  <c r="D1027" i="16"/>
  <c r="D1026" i="16"/>
  <c r="D1025" i="16"/>
  <c r="D1024" i="16"/>
  <c r="D1023" i="16"/>
  <c r="D1022" i="16"/>
  <c r="D1021" i="16"/>
  <c r="D1020" i="16"/>
  <c r="D1019" i="16"/>
  <c r="D1018" i="16"/>
  <c r="D1017" i="16"/>
  <c r="D1016" i="16"/>
  <c r="D1015" i="16"/>
  <c r="D1014" i="16"/>
  <c r="D1013" i="16"/>
  <c r="D1012" i="16"/>
  <c r="D1011" i="16"/>
  <c r="D1010" i="16"/>
  <c r="D1009" i="16"/>
  <c r="D1008" i="16"/>
  <c r="D1007" i="16"/>
  <c r="D1006" i="16"/>
  <c r="D1005" i="16"/>
  <c r="D1004" i="16"/>
  <c r="D1003" i="16"/>
  <c r="D1002" i="16"/>
  <c r="D1001" i="16"/>
  <c r="D1000" i="16"/>
  <c r="D999" i="16"/>
  <c r="D998" i="16"/>
  <c r="D997" i="16"/>
  <c r="D996" i="16"/>
  <c r="D995" i="16"/>
  <c r="D994" i="16"/>
  <c r="D993" i="16"/>
  <c r="D992" i="16"/>
  <c r="D991" i="16"/>
  <c r="D990" i="16"/>
  <c r="D989" i="16"/>
  <c r="D988" i="16"/>
  <c r="D987" i="16"/>
  <c r="D986" i="16"/>
  <c r="D985" i="16"/>
  <c r="D984" i="16"/>
  <c r="D983" i="16"/>
  <c r="D982" i="16"/>
  <c r="D981" i="16"/>
  <c r="D980" i="16"/>
  <c r="D979" i="16"/>
  <c r="D978" i="16"/>
  <c r="D977" i="16"/>
  <c r="D976" i="16"/>
  <c r="D975" i="16"/>
  <c r="D974" i="16"/>
  <c r="D973" i="16"/>
  <c r="D972" i="16"/>
  <c r="D971" i="16"/>
  <c r="D970" i="16"/>
  <c r="D969" i="16"/>
  <c r="D968" i="16"/>
  <c r="D967" i="16"/>
  <c r="D966" i="16"/>
  <c r="D965" i="16"/>
  <c r="D964" i="16"/>
  <c r="D963" i="16"/>
  <c r="D962" i="16"/>
  <c r="D961" i="16"/>
  <c r="D960" i="16"/>
  <c r="D959" i="16"/>
  <c r="D958" i="16"/>
  <c r="D957" i="16"/>
  <c r="D956" i="16"/>
  <c r="D955" i="16"/>
  <c r="D954" i="16"/>
  <c r="D953" i="16"/>
  <c r="D952" i="16"/>
  <c r="D951" i="16"/>
  <c r="D950" i="16"/>
  <c r="D949" i="16"/>
  <c r="D948" i="16"/>
  <c r="D947" i="16"/>
  <c r="D946" i="16"/>
  <c r="D945" i="16"/>
  <c r="D944" i="16"/>
  <c r="D943" i="16"/>
  <c r="D942" i="16"/>
  <c r="D941" i="16"/>
  <c r="D940" i="16"/>
  <c r="D939" i="16"/>
  <c r="D938" i="16"/>
  <c r="D937" i="16"/>
  <c r="D936" i="16"/>
  <c r="D935" i="16"/>
  <c r="D934" i="16"/>
  <c r="D933" i="16"/>
  <c r="D932" i="16"/>
  <c r="D931" i="16"/>
  <c r="D930" i="16"/>
  <c r="D929" i="16"/>
  <c r="D928" i="16"/>
  <c r="D927" i="16"/>
  <c r="D926" i="16"/>
  <c r="D925" i="16"/>
  <c r="D924" i="16"/>
  <c r="D923" i="16"/>
  <c r="D922" i="16"/>
  <c r="D921" i="16"/>
  <c r="D920" i="16"/>
  <c r="D919" i="16"/>
  <c r="D918" i="16"/>
  <c r="D917" i="16"/>
  <c r="D916" i="16"/>
  <c r="D915" i="16"/>
  <c r="D914" i="16"/>
  <c r="D913" i="16"/>
  <c r="D912" i="16"/>
  <c r="D911" i="16"/>
  <c r="D910" i="16"/>
  <c r="D909" i="16"/>
  <c r="D908" i="16"/>
  <c r="D907" i="16"/>
  <c r="D906" i="16"/>
  <c r="D905" i="16"/>
  <c r="D904" i="16"/>
  <c r="D903" i="16"/>
  <c r="D902" i="16"/>
  <c r="D901" i="16"/>
  <c r="D900" i="16"/>
  <c r="D899" i="16"/>
  <c r="D898" i="16"/>
  <c r="D897" i="16"/>
  <c r="D896" i="16"/>
  <c r="D895" i="16"/>
  <c r="D894" i="16"/>
  <c r="D893" i="16"/>
  <c r="D892" i="16"/>
  <c r="D891" i="16"/>
  <c r="D890" i="16"/>
  <c r="D889" i="16"/>
  <c r="D888" i="16"/>
  <c r="D887" i="16"/>
  <c r="D886" i="16"/>
  <c r="D885" i="16"/>
  <c r="D884" i="16"/>
  <c r="D883" i="16"/>
  <c r="D882" i="16"/>
  <c r="D881" i="16"/>
  <c r="D880" i="16"/>
  <c r="D879" i="16"/>
  <c r="D878" i="16"/>
  <c r="D877" i="16"/>
  <c r="D876" i="16"/>
  <c r="D875" i="16"/>
  <c r="D874" i="16"/>
  <c r="D873" i="16"/>
  <c r="D872" i="16"/>
  <c r="D871" i="16"/>
  <c r="D870" i="16"/>
  <c r="D869" i="16"/>
  <c r="D868" i="16"/>
  <c r="D867" i="16"/>
  <c r="D866" i="16"/>
  <c r="D865" i="16"/>
  <c r="D864" i="16"/>
  <c r="D863" i="16"/>
  <c r="D862" i="16"/>
  <c r="D861" i="16"/>
  <c r="D860" i="16"/>
  <c r="D859" i="16"/>
  <c r="D858" i="16"/>
  <c r="D857" i="16"/>
  <c r="D856" i="16"/>
  <c r="D855" i="16"/>
  <c r="D854" i="16"/>
  <c r="D853" i="16"/>
  <c r="D852" i="16"/>
  <c r="D851" i="16"/>
  <c r="D850" i="16"/>
  <c r="D849" i="16"/>
  <c r="D848" i="16"/>
  <c r="D847" i="16"/>
  <c r="D846" i="16"/>
  <c r="D845" i="16"/>
  <c r="D844" i="16"/>
  <c r="D843" i="16"/>
  <c r="D842" i="16"/>
  <c r="D841" i="16"/>
  <c r="D840" i="16"/>
  <c r="D839" i="16"/>
  <c r="D838" i="16"/>
  <c r="D837" i="16"/>
  <c r="D836" i="16"/>
  <c r="D835" i="16"/>
  <c r="D834" i="16"/>
  <c r="D833" i="16"/>
  <c r="D832" i="16"/>
  <c r="D831" i="16"/>
  <c r="D830" i="16"/>
  <c r="D829" i="16"/>
  <c r="D828" i="16"/>
  <c r="D827" i="16"/>
  <c r="D826" i="16"/>
  <c r="D825" i="16"/>
  <c r="D824" i="16"/>
  <c r="D823" i="16"/>
  <c r="D822" i="16"/>
  <c r="D821" i="16"/>
  <c r="D820" i="16"/>
  <c r="D819" i="16"/>
  <c r="D818" i="16"/>
  <c r="D817" i="16"/>
  <c r="D816" i="16"/>
  <c r="D815" i="16"/>
  <c r="D814" i="16"/>
  <c r="D813" i="16"/>
  <c r="D812" i="16"/>
  <c r="D811" i="16"/>
  <c r="D810" i="16"/>
  <c r="D809" i="16"/>
  <c r="D808" i="16"/>
  <c r="D807" i="16"/>
  <c r="D806" i="16"/>
  <c r="D805" i="16"/>
  <c r="D804" i="16"/>
  <c r="D803" i="16"/>
  <c r="D802" i="16"/>
  <c r="D801" i="16"/>
  <c r="D800" i="16"/>
  <c r="D799" i="16"/>
  <c r="D798" i="16"/>
  <c r="D797" i="16"/>
  <c r="D796" i="16"/>
  <c r="D795" i="16"/>
  <c r="D794" i="16"/>
  <c r="D793" i="16"/>
  <c r="D792" i="16"/>
  <c r="D791" i="16"/>
  <c r="D790" i="16"/>
  <c r="D789" i="16"/>
  <c r="D788" i="16"/>
  <c r="D787" i="16"/>
  <c r="D786" i="16"/>
  <c r="D785" i="16"/>
  <c r="D784" i="16"/>
  <c r="D783" i="16"/>
  <c r="D782" i="16"/>
  <c r="D781" i="16"/>
  <c r="D780" i="16"/>
  <c r="D779" i="16"/>
  <c r="D778" i="16"/>
  <c r="D777" i="16"/>
  <c r="D776" i="16"/>
  <c r="D775" i="16"/>
  <c r="D774" i="16"/>
  <c r="D773" i="16"/>
  <c r="D772" i="16"/>
  <c r="D771" i="16"/>
  <c r="D770" i="16"/>
  <c r="D769" i="16"/>
  <c r="D768" i="16"/>
  <c r="D767" i="16"/>
  <c r="D766" i="16"/>
  <c r="D765" i="16"/>
  <c r="D764" i="16"/>
  <c r="D763" i="16"/>
  <c r="D762" i="16"/>
  <c r="D761" i="16"/>
  <c r="D760" i="16"/>
  <c r="D759" i="16"/>
  <c r="D758" i="16"/>
  <c r="D757" i="16"/>
  <c r="D756" i="16"/>
  <c r="D755" i="16"/>
  <c r="D754" i="16"/>
  <c r="D753" i="16"/>
  <c r="D752" i="16"/>
  <c r="D751" i="16"/>
  <c r="D750" i="16"/>
  <c r="D749" i="16"/>
  <c r="D748" i="16"/>
  <c r="D747" i="16"/>
  <c r="D746" i="16"/>
  <c r="D745" i="16"/>
  <c r="D744" i="16"/>
  <c r="D743" i="16"/>
  <c r="D742" i="16"/>
  <c r="D741" i="16"/>
  <c r="D740" i="16"/>
  <c r="D739" i="16"/>
  <c r="D738" i="16"/>
  <c r="D737" i="16"/>
  <c r="D736" i="16"/>
  <c r="D735" i="16"/>
  <c r="D734" i="16"/>
  <c r="D733" i="16"/>
  <c r="D732" i="16"/>
  <c r="D731" i="16"/>
  <c r="D730" i="16"/>
  <c r="D729" i="16"/>
  <c r="D728" i="16"/>
  <c r="D727" i="16"/>
  <c r="D726" i="16"/>
  <c r="D725" i="16"/>
  <c r="D724" i="16"/>
  <c r="D723" i="16"/>
  <c r="D722" i="16"/>
  <c r="D721" i="16"/>
  <c r="D720" i="16"/>
  <c r="D719" i="16"/>
  <c r="D718" i="16"/>
  <c r="D717" i="16"/>
  <c r="D716" i="16"/>
  <c r="D715" i="16"/>
  <c r="D714" i="16"/>
  <c r="D713" i="16"/>
  <c r="D712" i="16"/>
  <c r="D711" i="16"/>
  <c r="D710" i="16"/>
  <c r="D709" i="16"/>
  <c r="D708" i="16"/>
  <c r="D707" i="16"/>
  <c r="D706" i="16"/>
  <c r="D705" i="16"/>
  <c r="D704" i="16"/>
  <c r="D703" i="16"/>
  <c r="D702" i="16"/>
  <c r="D701" i="16"/>
  <c r="D700" i="16"/>
  <c r="D699" i="16"/>
  <c r="D698" i="16"/>
  <c r="D697" i="16"/>
  <c r="D696" i="16"/>
  <c r="D695" i="16"/>
  <c r="D694" i="16"/>
  <c r="D693" i="16"/>
  <c r="D692" i="16"/>
  <c r="D691" i="16"/>
  <c r="D690" i="16"/>
  <c r="D689" i="16"/>
  <c r="D688" i="16"/>
  <c r="D687" i="16"/>
  <c r="D686" i="16"/>
  <c r="D685" i="16"/>
  <c r="D684" i="16"/>
  <c r="D683" i="16"/>
  <c r="D682" i="16"/>
  <c r="D681" i="16"/>
  <c r="D680" i="16"/>
  <c r="D679" i="16"/>
  <c r="D678" i="16"/>
  <c r="D677" i="16"/>
  <c r="D676" i="16"/>
  <c r="D675" i="16"/>
  <c r="D674" i="16"/>
  <c r="D673" i="16"/>
  <c r="D672" i="16"/>
  <c r="D671" i="16"/>
  <c r="D670" i="16"/>
  <c r="D669" i="16"/>
  <c r="D668" i="16"/>
  <c r="D667" i="16"/>
  <c r="D666" i="16"/>
  <c r="D665" i="16"/>
  <c r="D664" i="16"/>
  <c r="D663" i="16"/>
  <c r="D662" i="16"/>
  <c r="D661" i="16"/>
  <c r="D660" i="16"/>
  <c r="D659" i="16"/>
  <c r="D658" i="16"/>
  <c r="D657" i="16"/>
  <c r="D656" i="16"/>
  <c r="D655" i="16"/>
  <c r="D654" i="16"/>
  <c r="D653" i="16"/>
  <c r="D652" i="16"/>
  <c r="D651" i="16"/>
  <c r="D650" i="16"/>
  <c r="D649" i="16"/>
  <c r="D648" i="16"/>
  <c r="D647" i="16"/>
  <c r="D646" i="16"/>
  <c r="D645" i="16"/>
  <c r="D644" i="16"/>
  <c r="D643" i="16"/>
  <c r="D642" i="16"/>
  <c r="D641" i="16"/>
  <c r="D640" i="16"/>
  <c r="D639" i="16"/>
  <c r="D638" i="16"/>
  <c r="D637" i="16"/>
  <c r="D636" i="16"/>
  <c r="D635" i="16"/>
  <c r="D634" i="16"/>
  <c r="D633" i="16"/>
  <c r="D632" i="16"/>
  <c r="D631" i="16"/>
  <c r="D630" i="16"/>
  <c r="D629" i="16"/>
  <c r="D628" i="16"/>
  <c r="D627" i="16"/>
  <c r="D626" i="16"/>
  <c r="D625" i="16"/>
  <c r="D624" i="16"/>
  <c r="D623" i="16"/>
  <c r="D622" i="16"/>
  <c r="D621" i="16"/>
  <c r="D620" i="16"/>
  <c r="D619" i="16"/>
  <c r="D618" i="16"/>
  <c r="D617" i="16"/>
  <c r="D616" i="16"/>
  <c r="D615" i="16"/>
  <c r="D614" i="16"/>
  <c r="D613" i="16"/>
  <c r="D612" i="16"/>
  <c r="D611" i="16"/>
  <c r="D610" i="16"/>
  <c r="D609" i="16"/>
  <c r="D608" i="16"/>
  <c r="D607" i="16"/>
  <c r="D606" i="16"/>
  <c r="D605" i="16"/>
  <c r="D604" i="16"/>
  <c r="D603" i="16"/>
  <c r="D602" i="16"/>
  <c r="D601" i="16"/>
  <c r="D600" i="16"/>
  <c r="D599" i="16"/>
  <c r="D598" i="16"/>
  <c r="D597" i="16"/>
  <c r="D596" i="16"/>
  <c r="D595" i="16"/>
  <c r="D594" i="16"/>
  <c r="D593" i="16"/>
  <c r="D592" i="16"/>
  <c r="D591" i="16"/>
  <c r="D590" i="16"/>
  <c r="D589" i="16"/>
  <c r="D588" i="16"/>
  <c r="D587" i="16"/>
  <c r="D586" i="16"/>
  <c r="D585" i="16"/>
  <c r="D584" i="16"/>
  <c r="D583" i="16"/>
  <c r="D582" i="16"/>
  <c r="D581" i="16"/>
  <c r="D580" i="16"/>
  <c r="D579" i="16"/>
  <c r="D578" i="16"/>
  <c r="D577" i="16"/>
  <c r="D576" i="16"/>
  <c r="D575" i="16"/>
  <c r="D574" i="16"/>
  <c r="D573" i="16"/>
  <c r="D572" i="16"/>
  <c r="D571" i="16"/>
  <c r="D570" i="16"/>
  <c r="D569" i="16"/>
  <c r="D568" i="16"/>
  <c r="D567" i="16"/>
  <c r="D566" i="16"/>
  <c r="D565" i="16"/>
  <c r="D564" i="16"/>
  <c r="D563" i="16"/>
  <c r="D562" i="16"/>
  <c r="D561" i="16"/>
  <c r="D560" i="16"/>
  <c r="D559" i="16"/>
  <c r="D558" i="16"/>
  <c r="D557" i="16"/>
  <c r="D556" i="16"/>
  <c r="D555" i="16"/>
  <c r="D554" i="16"/>
  <c r="D553" i="16"/>
  <c r="D552" i="16"/>
  <c r="D551" i="16"/>
  <c r="D550" i="16"/>
  <c r="D549" i="16"/>
  <c r="D548" i="16"/>
  <c r="D547" i="16"/>
  <c r="D546" i="16"/>
  <c r="D545" i="16"/>
  <c r="D544" i="16"/>
  <c r="D543" i="16"/>
  <c r="D542" i="16"/>
  <c r="D541" i="16"/>
  <c r="D540" i="16"/>
  <c r="D539" i="16"/>
  <c r="D538" i="16"/>
  <c r="D537" i="16"/>
  <c r="D536" i="16"/>
  <c r="D535" i="16"/>
  <c r="D534" i="16"/>
  <c r="D533" i="16"/>
  <c r="D532" i="16"/>
  <c r="D531" i="16"/>
  <c r="D530" i="16"/>
  <c r="D529" i="16"/>
  <c r="D528" i="16"/>
  <c r="D527" i="16"/>
  <c r="D526" i="16"/>
  <c r="D525" i="16"/>
  <c r="D524" i="16"/>
  <c r="D523" i="16"/>
  <c r="D522" i="16"/>
  <c r="D521" i="16"/>
  <c r="D520" i="16"/>
  <c r="D519" i="16"/>
  <c r="D518" i="16"/>
  <c r="D517" i="16"/>
  <c r="D516" i="16"/>
  <c r="D515" i="16"/>
  <c r="D514" i="16"/>
  <c r="D513" i="16"/>
  <c r="D512" i="16"/>
  <c r="D511" i="16"/>
  <c r="D510" i="16"/>
  <c r="D509" i="16"/>
  <c r="D508" i="16"/>
  <c r="D507" i="16"/>
  <c r="D506" i="16"/>
  <c r="D505" i="16"/>
  <c r="D504" i="16"/>
  <c r="D503" i="16"/>
  <c r="D502" i="16"/>
  <c r="D501" i="16"/>
  <c r="D500" i="16"/>
  <c r="D499" i="16"/>
  <c r="D498" i="16"/>
  <c r="D497" i="16"/>
  <c r="D496" i="16"/>
  <c r="D495" i="16"/>
  <c r="D494" i="16"/>
  <c r="D493" i="16"/>
  <c r="D492" i="16"/>
  <c r="D491" i="16"/>
  <c r="D490" i="16"/>
  <c r="D489" i="16"/>
  <c r="D488" i="16"/>
  <c r="D487" i="16"/>
  <c r="D486" i="16"/>
  <c r="D485" i="16"/>
  <c r="D484" i="16"/>
  <c r="D483" i="16"/>
  <c r="D482" i="16"/>
  <c r="D481" i="16"/>
  <c r="D480" i="16"/>
  <c r="D479" i="16"/>
  <c r="D478" i="16"/>
  <c r="D477" i="16"/>
  <c r="D476" i="16"/>
  <c r="D475" i="16"/>
  <c r="D474" i="16"/>
  <c r="D473" i="16"/>
  <c r="D472" i="16"/>
  <c r="D471" i="16"/>
  <c r="D470" i="16"/>
  <c r="D469" i="16"/>
  <c r="D468" i="16"/>
  <c r="D467" i="16"/>
  <c r="D466" i="16"/>
  <c r="D465" i="16"/>
  <c r="D464" i="16"/>
  <c r="D463" i="16"/>
  <c r="D462" i="16"/>
  <c r="D461" i="16"/>
  <c r="D460" i="16"/>
  <c r="D459" i="16"/>
  <c r="D458" i="16"/>
  <c r="D457" i="16"/>
  <c r="D456" i="16"/>
  <c r="D455" i="16"/>
  <c r="D454" i="16"/>
  <c r="D453" i="16"/>
  <c r="D452" i="16"/>
  <c r="D451" i="16"/>
  <c r="D450" i="16"/>
  <c r="D449" i="16"/>
  <c r="D448" i="16"/>
  <c r="D447" i="16"/>
  <c r="D446" i="16"/>
  <c r="D445" i="16"/>
  <c r="D444" i="16"/>
  <c r="D443" i="16"/>
  <c r="D442" i="16"/>
  <c r="D441" i="16"/>
  <c r="D440" i="16"/>
  <c r="D439" i="16"/>
  <c r="D438" i="16"/>
  <c r="D437" i="16"/>
  <c r="D436" i="16"/>
  <c r="D435" i="16"/>
  <c r="D434" i="16"/>
  <c r="D433" i="16"/>
  <c r="D432" i="16"/>
  <c r="D431" i="16"/>
  <c r="D430" i="16"/>
  <c r="D429" i="16"/>
  <c r="D428" i="16"/>
  <c r="D427" i="16"/>
  <c r="D426" i="16"/>
  <c r="D425" i="16"/>
  <c r="D424" i="16"/>
  <c r="D423" i="16"/>
  <c r="D422" i="16"/>
  <c r="D421" i="16"/>
  <c r="D420" i="16"/>
  <c r="D419" i="16"/>
  <c r="D418" i="16"/>
  <c r="D417" i="16"/>
  <c r="D416" i="16"/>
  <c r="D415" i="16"/>
  <c r="D414" i="16"/>
  <c r="D413" i="16"/>
  <c r="D412" i="16"/>
  <c r="D411" i="16"/>
  <c r="D410" i="16"/>
  <c r="D409" i="16"/>
  <c r="D408" i="16"/>
  <c r="D407" i="16"/>
  <c r="D406" i="16"/>
  <c r="D405" i="16"/>
  <c r="D404" i="16"/>
  <c r="D403" i="16"/>
  <c r="D402" i="16"/>
  <c r="D401" i="16"/>
  <c r="D400" i="16"/>
  <c r="D399" i="16"/>
  <c r="D398" i="16"/>
  <c r="D397" i="16"/>
  <c r="D396" i="16"/>
  <c r="D395" i="16"/>
  <c r="D394" i="16"/>
  <c r="D393" i="16"/>
  <c r="D392" i="16"/>
  <c r="D391" i="16"/>
  <c r="D390" i="16"/>
  <c r="D389" i="16"/>
  <c r="D388" i="16"/>
  <c r="D387" i="16"/>
  <c r="D386" i="16"/>
  <c r="D385" i="16"/>
  <c r="D384" i="16"/>
  <c r="D383" i="16"/>
  <c r="D382" i="16"/>
  <c r="D381" i="16"/>
  <c r="D380" i="16"/>
  <c r="D379" i="16"/>
  <c r="D378" i="16"/>
  <c r="D377" i="16"/>
  <c r="D376" i="16"/>
  <c r="D375" i="16"/>
  <c r="D374" i="16"/>
  <c r="D373" i="16"/>
  <c r="D372" i="16"/>
  <c r="D371" i="16"/>
  <c r="D370" i="16"/>
  <c r="D369" i="16"/>
  <c r="D368" i="16"/>
  <c r="D367" i="16"/>
  <c r="D366" i="16"/>
  <c r="D365" i="16"/>
  <c r="D364" i="16"/>
  <c r="D363" i="16"/>
  <c r="D362" i="16"/>
  <c r="D361" i="16"/>
  <c r="D360" i="16"/>
  <c r="D359" i="16"/>
  <c r="D358" i="16"/>
  <c r="D357" i="16"/>
  <c r="D356" i="16"/>
  <c r="D355" i="16"/>
  <c r="D354" i="16"/>
  <c r="D353" i="16"/>
  <c r="D352" i="16"/>
  <c r="D351" i="16"/>
  <c r="D350" i="16"/>
  <c r="D349" i="16"/>
  <c r="D348" i="16"/>
  <c r="D347" i="16"/>
  <c r="D346" i="16"/>
  <c r="D345" i="16"/>
  <c r="D344" i="16"/>
  <c r="D343" i="16"/>
  <c r="D342" i="16"/>
  <c r="D341" i="16"/>
  <c r="D340" i="16"/>
  <c r="D339" i="16"/>
  <c r="D338" i="16"/>
  <c r="D337" i="16"/>
  <c r="D336" i="16"/>
  <c r="D335" i="16"/>
  <c r="D334" i="16"/>
  <c r="D333" i="16"/>
  <c r="D332" i="16"/>
  <c r="D331" i="16"/>
  <c r="D330" i="16"/>
  <c r="D329" i="16"/>
  <c r="D328" i="16"/>
  <c r="D327" i="16"/>
  <c r="D326" i="16"/>
  <c r="D325" i="16"/>
  <c r="D324" i="16"/>
  <c r="D323" i="16"/>
  <c r="D322" i="16"/>
  <c r="D321" i="16"/>
  <c r="D320" i="16"/>
  <c r="D319" i="16"/>
  <c r="D318" i="16"/>
  <c r="D317" i="16"/>
  <c r="D316" i="16"/>
  <c r="D315" i="16"/>
  <c r="D314" i="16"/>
  <c r="D313" i="16"/>
  <c r="D312" i="16"/>
  <c r="D311" i="16"/>
  <c r="D310" i="16"/>
  <c r="D309" i="16"/>
  <c r="D308" i="16"/>
  <c r="D307" i="16"/>
  <c r="D306" i="16"/>
  <c r="D305" i="16"/>
  <c r="D304" i="16"/>
  <c r="D303" i="16"/>
  <c r="D302" i="16"/>
  <c r="D301" i="16"/>
  <c r="D300" i="16"/>
  <c r="D299" i="16"/>
  <c r="D298" i="16"/>
  <c r="D297" i="16"/>
  <c r="D296" i="16"/>
  <c r="D295" i="16"/>
  <c r="D294" i="16"/>
  <c r="D293" i="16"/>
  <c r="D292" i="16"/>
  <c r="D291" i="16"/>
  <c r="D290" i="16"/>
  <c r="D289" i="16"/>
  <c r="D288" i="16"/>
  <c r="D287" i="16"/>
  <c r="D286" i="16"/>
  <c r="D285" i="16"/>
  <c r="D284" i="16"/>
  <c r="D283" i="16"/>
  <c r="D282" i="16"/>
  <c r="D281" i="16"/>
  <c r="D280" i="16"/>
  <c r="D279" i="16"/>
  <c r="D278" i="16"/>
  <c r="D277" i="16"/>
  <c r="D276" i="16"/>
  <c r="D275" i="16"/>
  <c r="D274" i="16"/>
  <c r="D273" i="16"/>
  <c r="D272" i="16"/>
  <c r="D271" i="16"/>
  <c r="D270" i="16"/>
  <c r="D269" i="16"/>
  <c r="D268" i="16"/>
  <c r="D267" i="16"/>
  <c r="D266" i="16"/>
  <c r="D265" i="16"/>
  <c r="D264" i="16"/>
  <c r="D263" i="16"/>
  <c r="D262" i="16"/>
  <c r="D261" i="16"/>
  <c r="D260" i="16"/>
  <c r="D259" i="16"/>
  <c r="D258" i="16"/>
  <c r="D257" i="16"/>
  <c r="D256" i="16"/>
  <c r="D255" i="16"/>
  <c r="D254" i="16"/>
  <c r="D253" i="16"/>
  <c r="D252" i="16"/>
  <c r="D251" i="16"/>
  <c r="D250" i="16"/>
  <c r="D249" i="16"/>
  <c r="D248" i="16"/>
  <c r="D247" i="16"/>
  <c r="D246" i="16"/>
  <c r="D245" i="16"/>
  <c r="D244" i="16"/>
  <c r="D243" i="16"/>
  <c r="D242" i="16"/>
  <c r="D241" i="16"/>
  <c r="D240" i="16"/>
  <c r="D239" i="16"/>
  <c r="D238" i="16"/>
  <c r="D237" i="16"/>
  <c r="D236" i="16"/>
  <c r="D235" i="16"/>
  <c r="D234" i="16"/>
  <c r="D233" i="16"/>
  <c r="D232" i="16"/>
  <c r="D231" i="16"/>
  <c r="D230" i="16"/>
  <c r="D229" i="16"/>
  <c r="D228" i="16"/>
  <c r="D227" i="16"/>
  <c r="D226" i="16"/>
  <c r="D225" i="16"/>
  <c r="D224" i="16"/>
  <c r="D223" i="16"/>
  <c r="D222" i="16"/>
  <c r="D221" i="16"/>
  <c r="D220" i="16"/>
  <c r="D219" i="16"/>
  <c r="D218" i="16"/>
  <c r="D217" i="16"/>
  <c r="D216" i="16"/>
  <c r="D215" i="16"/>
  <c r="D214" i="16"/>
  <c r="D213" i="16"/>
  <c r="D212" i="16"/>
  <c r="D211" i="16"/>
  <c r="D210" i="16"/>
  <c r="D209" i="16"/>
  <c r="D208" i="16"/>
  <c r="D207" i="16"/>
  <c r="D206" i="16"/>
  <c r="D205" i="16"/>
  <c r="D204" i="16"/>
  <c r="D203" i="16"/>
  <c r="D202" i="16"/>
  <c r="D201" i="16"/>
  <c r="D200" i="16"/>
  <c r="D199" i="16"/>
  <c r="D198" i="16"/>
  <c r="D197" i="16"/>
  <c r="D196" i="16"/>
  <c r="D195" i="16"/>
  <c r="D194" i="16"/>
  <c r="D193" i="16"/>
  <c r="D192" i="16"/>
  <c r="D191" i="16"/>
  <c r="D190" i="16"/>
  <c r="D189" i="16"/>
  <c r="D188" i="16"/>
  <c r="D187" i="16"/>
  <c r="D186" i="16"/>
  <c r="D185" i="16"/>
  <c r="D184" i="16"/>
  <c r="D183" i="16"/>
  <c r="D182" i="16"/>
  <c r="D181" i="16"/>
  <c r="D180" i="16"/>
  <c r="D179" i="16"/>
  <c r="D178" i="16"/>
  <c r="D177" i="16"/>
  <c r="D176" i="16"/>
  <c r="D175" i="16"/>
  <c r="D174" i="16"/>
  <c r="D173" i="16"/>
  <c r="D172" i="16"/>
  <c r="D171" i="16"/>
  <c r="D170" i="16"/>
  <c r="D169" i="16"/>
  <c r="D168" i="16"/>
  <c r="D167" i="16"/>
  <c r="D166" i="16"/>
  <c r="D165" i="16"/>
  <c r="D164" i="16"/>
  <c r="D163" i="16"/>
  <c r="D162" i="16"/>
  <c r="D161" i="16"/>
  <c r="D160" i="16"/>
  <c r="D159" i="16"/>
  <c r="D158" i="16"/>
  <c r="D157" i="16"/>
  <c r="D156" i="16"/>
  <c r="D155" i="16"/>
  <c r="D154" i="16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B4" i="16"/>
  <c r="C1" i="14" l="1"/>
  <c r="B12" i="13"/>
  <c r="B35" i="13"/>
  <c r="B52" i="13"/>
  <c r="B62" i="13"/>
  <c r="B67" i="13"/>
  <c r="B74" i="13"/>
  <c r="B78" i="13"/>
  <c r="B82" i="13"/>
  <c r="B88" i="13"/>
  <c r="B91" i="13"/>
  <c r="B95" i="13"/>
  <c r="B102" i="13"/>
  <c r="B105" i="13"/>
  <c r="G86" i="13"/>
  <c r="G2" i="13"/>
  <c r="G3" i="13"/>
  <c r="G4" i="13"/>
  <c r="G5" i="13"/>
  <c r="G6" i="13"/>
  <c r="G7" i="13"/>
  <c r="G8" i="13"/>
  <c r="G9" i="13"/>
  <c r="G11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3" i="13"/>
  <c r="G54" i="13"/>
  <c r="G55" i="13"/>
  <c r="G56" i="13"/>
  <c r="G57" i="13"/>
  <c r="G58" i="13"/>
  <c r="G59" i="13"/>
  <c r="G60" i="13"/>
  <c r="G61" i="13"/>
  <c r="G63" i="13"/>
  <c r="G64" i="13"/>
  <c r="G65" i="13"/>
  <c r="G66" i="13"/>
  <c r="G68" i="13"/>
  <c r="G69" i="13"/>
  <c r="G70" i="13"/>
  <c r="G71" i="13"/>
  <c r="G72" i="13"/>
  <c r="G73" i="13"/>
  <c r="G75" i="13"/>
  <c r="G76" i="13"/>
  <c r="G77" i="13"/>
  <c r="G79" i="13"/>
  <c r="G80" i="13"/>
  <c r="G81" i="13"/>
  <c r="G83" i="13"/>
  <c r="G84" i="13"/>
  <c r="G85" i="13"/>
  <c r="G87" i="13"/>
  <c r="G89" i="13"/>
  <c r="G90" i="13"/>
  <c r="G92" i="13"/>
  <c r="G93" i="13"/>
  <c r="G94" i="13"/>
  <c r="G96" i="13"/>
  <c r="G97" i="13"/>
  <c r="G98" i="13"/>
  <c r="G99" i="13"/>
  <c r="G100" i="13"/>
  <c r="G101" i="13"/>
  <c r="B106" i="13" l="1"/>
</calcChain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rFont val="宋体"/>
            <family val="3"/>
            <charset val="134"/>
          </rPr>
          <t>只能英文或英文字符</t>
        </r>
      </text>
    </comment>
    <comment ref="B2" authorId="0" shapeId="0">
      <text>
        <r>
          <rPr>
            <sz val="9"/>
            <rFont val="宋体"/>
            <family val="3"/>
            <charset val="134"/>
          </rPr>
          <t>可以中文或英文</t>
        </r>
      </text>
    </comment>
  </commentList>
</comments>
</file>

<file path=xl/sharedStrings.xml><?xml version="1.0" encoding="utf-8"?>
<sst xmlns="http://schemas.openxmlformats.org/spreadsheetml/2006/main" count="4339" uniqueCount="1051">
  <si>
    <t>动作</t>
  </si>
  <si>
    <t>参数</t>
  </si>
  <si>
    <t>描述</t>
  </si>
  <si>
    <t>Common</t>
  </si>
  <si>
    <t>Input</t>
  </si>
  <si>
    <t>Click</t>
  </si>
  <si>
    <t>DeselectAllOptions</t>
  </si>
  <si>
    <t>SelectFromQuickSearchList</t>
  </si>
  <si>
    <t>SelectFileToUpload</t>
  </si>
  <si>
    <t>Verify_Contain</t>
  </si>
  <si>
    <t>Verify_Match</t>
  </si>
  <si>
    <t>VerifyList_Equal</t>
  </si>
  <si>
    <t>VerifyList_Contain</t>
  </si>
  <si>
    <t>VerifyList_match</t>
  </si>
  <si>
    <t>Buffer_Pattern</t>
  </si>
  <si>
    <t>OpenURL</t>
  </si>
  <si>
    <t>WaitOn</t>
  </si>
  <si>
    <t>MouseAction</t>
  </si>
  <si>
    <t>SwitchToFrame</t>
  </si>
  <si>
    <t>SwitchOutOfFrame</t>
  </si>
  <si>
    <t>ConfirmIfConfirmationPopup</t>
  </si>
  <si>
    <t>InputDate</t>
  </si>
  <si>
    <t>ScrollLeft</t>
  </si>
  <si>
    <t>ScrollTop</t>
  </si>
  <si>
    <t>DBRelated</t>
  </si>
  <si>
    <t>DB_RunSQL</t>
  </si>
  <si>
    <t>DB_RunSQL_Query</t>
  </si>
  <si>
    <t>DB_RunSQL_Update</t>
  </si>
  <si>
    <t>DB_CloseConnection</t>
  </si>
  <si>
    <t>DB_runSQLfile</t>
  </si>
  <si>
    <t>请一定要在最后一个有效行填上： End，其他行不能有End</t>
  </si>
  <si>
    <t>备注</t>
  </si>
  <si>
    <t>模块/页面</t>
  </si>
  <si>
    <t>页面元素</t>
  </si>
  <si>
    <t>Value</t>
  </si>
  <si>
    <t>xpath</t>
  </si>
  <si>
    <t>测试步骤</t>
  </si>
  <si>
    <t>测试数据集</t>
  </si>
  <si>
    <t>第一套数据</t>
  </si>
  <si>
    <t>第二套数据</t>
  </si>
  <si>
    <t>第三套数据</t>
  </si>
  <si>
    <t>第四套数据</t>
  </si>
  <si>
    <t>第五套数据</t>
  </si>
  <si>
    <t>第六套数据</t>
  </si>
  <si>
    <t>第七套数据</t>
  </si>
  <si>
    <t>第八套数据</t>
  </si>
  <si>
    <t>第九套数据</t>
  </si>
  <si>
    <t>第十套数据</t>
  </si>
  <si>
    <t>总是执行不管上一步失败与否</t>
    <phoneticPr fontId="8" type="noConversion"/>
  </si>
  <si>
    <t>Input_RegExp</t>
  </si>
  <si>
    <t>Verify_Selected</t>
  </si>
  <si>
    <t>执行次数</t>
    <phoneticPr fontId="8" type="noConversion"/>
  </si>
  <si>
    <t>用例名</t>
    <phoneticPr fontId="8" type="noConversion"/>
  </si>
  <si>
    <t>测试步骤</t>
    <phoneticPr fontId="8" type="noConversion"/>
  </si>
  <si>
    <t>页面元素</t>
    <phoneticPr fontId="8" type="noConversion"/>
  </si>
  <si>
    <t>测试数据集</t>
    <phoneticPr fontId="8" type="noConversion"/>
  </si>
  <si>
    <t>备注</t>
    <phoneticPr fontId="8" type="noConversion"/>
  </si>
  <si>
    <t>步骤描述</t>
    <phoneticPr fontId="8" type="noConversion"/>
  </si>
  <si>
    <t>动作Action</t>
    <phoneticPr fontId="8" type="noConversion"/>
  </si>
  <si>
    <t>期望结果</t>
    <phoneticPr fontId="8" type="noConversion"/>
  </si>
  <si>
    <t>第四套数据</t>
    <phoneticPr fontId="8" type="noConversion"/>
  </si>
  <si>
    <t>第五套数据</t>
    <phoneticPr fontId="8" type="noConversion"/>
  </si>
  <si>
    <t>第六套数据</t>
    <phoneticPr fontId="8" type="noConversion"/>
  </si>
  <si>
    <t>第七套数据</t>
    <phoneticPr fontId="8" type="noConversion"/>
  </si>
  <si>
    <t>第八套数据</t>
    <phoneticPr fontId="8" type="noConversion"/>
  </si>
  <si>
    <t>第九套数据</t>
    <phoneticPr fontId="8" type="noConversion"/>
  </si>
  <si>
    <t>第十套数据</t>
    <phoneticPr fontId="8" type="noConversion"/>
  </si>
  <si>
    <t>Input</t>
    <phoneticPr fontId="8" type="noConversion"/>
  </si>
  <si>
    <t>用法1：输入所给的值</t>
    <phoneticPr fontId="8" type="noConversion"/>
  </si>
  <si>
    <t>page</t>
    <phoneticPr fontId="8" type="noConversion"/>
  </si>
  <si>
    <t>element</t>
    <phoneticPr fontId="8" type="noConversion"/>
  </si>
  <si>
    <t>test</t>
    <phoneticPr fontId="8" type="noConversion"/>
  </si>
  <si>
    <t>用法2：不输入值</t>
    <phoneticPr fontId="8" type="noConversion"/>
  </si>
  <si>
    <t>Click</t>
    <phoneticPr fontId="8" type="noConversion"/>
  </si>
  <si>
    <t>用法1</t>
    <phoneticPr fontId="8" type="noConversion"/>
  </si>
  <si>
    <t>SelectSingleOption</t>
    <phoneticPr fontId="8" type="noConversion"/>
  </si>
  <si>
    <t>option1</t>
    <phoneticPr fontId="8" type="noConversion"/>
  </si>
  <si>
    <t>用法2：选择第几个值</t>
    <phoneticPr fontId="8" type="noConversion"/>
  </si>
  <si>
    <t>SelectMultipleOption</t>
    <phoneticPr fontId="8" type="noConversion"/>
  </si>
  <si>
    <t>用法1：选择一个所给的值</t>
    <phoneticPr fontId="8" type="noConversion"/>
  </si>
  <si>
    <t>用法2：选择多个所给的值</t>
    <phoneticPr fontId="8" type="noConversion"/>
  </si>
  <si>
    <t>option1,option4,option5</t>
    <phoneticPr fontId="8" type="noConversion"/>
  </si>
  <si>
    <t>用法3：选择符合所指定位置的某个值</t>
    <phoneticPr fontId="8" type="noConversion"/>
  </si>
  <si>
    <t>用法4：选择符合所指定位置的多个值</t>
    <phoneticPr fontId="8" type="noConversion"/>
  </si>
  <si>
    <t>2,4,7</t>
    <phoneticPr fontId="8" type="noConversion"/>
  </si>
  <si>
    <t>SelectFromQuickSearchList</t>
    <phoneticPr fontId="8" type="noConversion"/>
  </si>
  <si>
    <t>SelectFileToUpload</t>
    <phoneticPr fontId="8" type="noConversion"/>
  </si>
  <si>
    <t>deliveryOrderMaint</t>
  </si>
  <si>
    <t>attachmentTab_browseBtn</t>
  </si>
  <si>
    <t>test123.txt</t>
  </si>
  <si>
    <t>用法2</t>
  </si>
  <si>
    <t>用法3</t>
  </si>
  <si>
    <t>用法4</t>
  </si>
  <si>
    <t>用法5</t>
  </si>
  <si>
    <t>用法6</t>
  </si>
  <si>
    <t>url</t>
    <phoneticPr fontId="8" type="noConversion"/>
  </si>
  <si>
    <t>用法7</t>
  </si>
  <si>
    <t>用法8</t>
  </si>
  <si>
    <t>20;yyyy-MM-dd</t>
    <phoneticPr fontId="8" type="noConversion"/>
  </si>
  <si>
    <t>用法12：输入格式不是yyyyMMdd的时候，需要指明所需格式</t>
    <phoneticPr fontId="8" type="noConversion"/>
  </si>
  <si>
    <t>用法13：输入格式不是yyyyMMdd的时候，需要指明所需格式</t>
    <phoneticPr fontId="8" type="noConversion"/>
  </si>
  <si>
    <t>today;yyyy-MM-dd</t>
    <phoneticPr fontId="8" type="noConversion"/>
  </si>
  <si>
    <t>用法14：输入格式不是yyyyMMdd的时候，需要指明所需格式</t>
    <phoneticPr fontId="8" type="noConversion"/>
  </si>
  <si>
    <t>用法15：输入格式不是yyyyMMdd的时候，需要指明所需格式</t>
    <phoneticPr fontId="8" type="noConversion"/>
  </si>
  <si>
    <t>lastMonth;yyyy-MM-dd</t>
    <phoneticPr fontId="8" type="noConversion"/>
  </si>
  <si>
    <t>用法16：输入格式不是yyyyMMdd的时候，需要指明所需格式</t>
    <phoneticPr fontId="8" type="noConversion"/>
  </si>
  <si>
    <t>用法17：输入格式不是yyyyMMdd的时候，需要指明所需格式</t>
    <phoneticPr fontId="8" type="noConversion"/>
  </si>
  <si>
    <t>用法18：输入格式不是yyyyMMdd的时候，需要指明所需格式</t>
    <phoneticPr fontId="8" type="noConversion"/>
  </si>
  <si>
    <t>ByType</t>
    <phoneticPr fontId="8" type="noConversion"/>
  </si>
  <si>
    <t>ByType不能为空</t>
    <phoneticPr fontId="8" type="noConversion"/>
  </si>
  <si>
    <t>false</t>
  </si>
  <si>
    <t xml:space="preserve">1.页面元素：定位到select标签
2.data数据：需要选择的数据或者index（范围 1到9）
  例1：部品事业部 
  例2：3
</t>
  </si>
  <si>
    <t xml:space="preserve">1.页面元素：定位到select标签
2.data数据：需要选择的数据或者index（范围 1到9），可以多选，多选值之间用英文逗号(,)隔开
  例1：部品事业部,厨房电器事业部
  例2：3,5
</t>
  </si>
  <si>
    <t>SwitchToWindowByURL</t>
    <phoneticPr fontId="8" type="noConversion"/>
  </si>
  <si>
    <t>执行次数
（必填）</t>
    <phoneticPr fontId="8" type="noConversion"/>
  </si>
  <si>
    <t>用例名
（必填）</t>
    <phoneticPr fontId="8" type="noConversion"/>
  </si>
  <si>
    <t>用例描述
（可选）</t>
    <phoneticPr fontId="8" type="noConversion"/>
  </si>
  <si>
    <t>模块/页面</t>
    <phoneticPr fontId="8" type="noConversion"/>
  </si>
  <si>
    <t>步骤描述
（可选）</t>
    <phoneticPr fontId="8" type="noConversion"/>
  </si>
  <si>
    <t>动作Action
（必填）</t>
    <phoneticPr fontId="8" type="noConversion"/>
  </si>
  <si>
    <r>
      <t xml:space="preserve">模块/页面
</t>
    </r>
    <r>
      <rPr>
        <b/>
        <sz val="11"/>
        <color rgb="FFFF0000"/>
        <rFont val="宋体"/>
        <family val="3"/>
        <charset val="134"/>
        <scheme val="minor"/>
      </rPr>
      <t>（相同页面/模块的页面元素必须放在连续的行里，不能中间被空行或者其他页面行隔开）</t>
    </r>
    <phoneticPr fontId="8" type="noConversion"/>
  </si>
  <si>
    <t>Input</t>
    <phoneticPr fontId="8" type="noConversion"/>
  </si>
  <si>
    <t>SwitchToWindowByTitle</t>
    <phoneticPr fontId="8" type="noConversion"/>
  </si>
  <si>
    <t>Browser_ScrollLeft</t>
  </si>
  <si>
    <t>Browser_ScrollTop</t>
  </si>
  <si>
    <t>期望结果</t>
    <phoneticPr fontId="8" type="noConversion"/>
  </si>
  <si>
    <t>第一套数据</t>
    <phoneticPr fontId="8" type="noConversion"/>
  </si>
  <si>
    <t>第二套数据</t>
    <phoneticPr fontId="8" type="noConversion"/>
  </si>
  <si>
    <t>第三套数据</t>
    <phoneticPr fontId="8" type="noConversion"/>
  </si>
  <si>
    <t>用法1：选择所给的值</t>
    <phoneticPr fontId="8" type="noConversion"/>
  </si>
  <si>
    <t>DeselectAllOptions</t>
    <phoneticPr fontId="8" type="noConversion"/>
  </si>
  <si>
    <t>Verify_Equal</t>
    <phoneticPr fontId="8" type="noConversion"/>
  </si>
  <si>
    <t>用法1</t>
    <phoneticPr fontId="8" type="noConversion"/>
  </si>
  <si>
    <t>期望结果</t>
    <phoneticPr fontId="8" type="noConversion"/>
  </si>
  <si>
    <t>page</t>
    <phoneticPr fontId="8" type="noConversion"/>
  </si>
  <si>
    <t>element</t>
    <phoneticPr fontId="8" type="noConversion"/>
  </si>
  <si>
    <t>百度</t>
    <phoneticPr fontId="8" type="noConversion"/>
  </si>
  <si>
    <t>Enabled;false</t>
    <phoneticPr fontId="8" type="noConversion"/>
  </si>
  <si>
    <t>Displayed;true</t>
    <phoneticPr fontId="8" type="noConversion"/>
  </si>
  <si>
    <t>Selected;true</t>
    <phoneticPr fontId="8" type="noConversion"/>
  </si>
  <si>
    <t>id;input2</t>
    <phoneticPr fontId="8" type="noConversion"/>
  </si>
  <si>
    <t>Verify_Equal</t>
    <phoneticPr fontId="8" type="noConversion"/>
  </si>
  <si>
    <t>期望结果</t>
    <phoneticPr fontId="8" type="noConversion"/>
  </si>
  <si>
    <t>page</t>
    <phoneticPr fontId="8" type="noConversion"/>
  </si>
  <si>
    <t>element</t>
    <phoneticPr fontId="8" type="noConversion"/>
  </si>
  <si>
    <t>class;username</t>
    <phoneticPr fontId="8" type="noConversion"/>
  </si>
  <si>
    <t>Verify_Contain</t>
    <phoneticPr fontId="8" type="noConversion"/>
  </si>
  <si>
    <t>用法1</t>
    <phoneticPr fontId="8" type="noConversion"/>
  </si>
  <si>
    <t>期望结果</t>
    <phoneticPr fontId="8" type="noConversion"/>
  </si>
  <si>
    <t>page</t>
    <phoneticPr fontId="8" type="noConversion"/>
  </si>
  <si>
    <t>element</t>
    <phoneticPr fontId="8" type="noConversion"/>
  </si>
  <si>
    <t>度</t>
    <phoneticPr fontId="8" type="noConversion"/>
  </si>
  <si>
    <t>class;user</t>
    <phoneticPr fontId="8" type="noConversion"/>
  </si>
  <si>
    <t>Verify_Match</t>
    <phoneticPr fontId="8" type="noConversion"/>
  </si>
  <si>
    <t>用法1:验证是否包含摸个字符串</t>
    <phoneticPr fontId="8" type="noConversion"/>
  </si>
  <si>
    <t>度{1}</t>
    <phoneticPr fontId="8" type="noConversion"/>
  </si>
  <si>
    <t>用法2:验证是否数字</t>
    <phoneticPr fontId="8" type="noConversion"/>
  </si>
  <si>
    <t>^[0-9]*$</t>
    <phoneticPr fontId="8" type="noConversion"/>
  </si>
  <si>
    <t>用法3：验证id值是否匹配正则表达自</t>
    <phoneticPr fontId="8" type="noConversion"/>
  </si>
  <si>
    <t>id;^[0-9]*$</t>
    <phoneticPr fontId="8" type="noConversion"/>
  </si>
  <si>
    <t>VerifyList_Equal</t>
    <phoneticPr fontId="8" type="noConversion"/>
  </si>
  <si>
    <t>用法1</t>
    <phoneticPr fontId="8" type="noConversion"/>
  </si>
  <si>
    <t>期望结果</t>
    <phoneticPr fontId="8" type="noConversion"/>
  </si>
  <si>
    <t>page</t>
    <phoneticPr fontId="8" type="noConversion"/>
  </si>
  <si>
    <t>element</t>
    <phoneticPr fontId="8" type="noConversion"/>
  </si>
  <si>
    <t>百度</t>
    <phoneticPr fontId="8" type="noConversion"/>
  </si>
  <si>
    <t>Enabled;false</t>
    <phoneticPr fontId="8" type="noConversion"/>
  </si>
  <si>
    <t>Displayed;true</t>
    <phoneticPr fontId="8" type="noConversion"/>
  </si>
  <si>
    <t>Selected;true</t>
    <phoneticPr fontId="8" type="noConversion"/>
  </si>
  <si>
    <t>id;input2</t>
    <phoneticPr fontId="8" type="noConversion"/>
  </si>
  <si>
    <t>class;username</t>
    <phoneticPr fontId="8" type="noConversion"/>
  </si>
  <si>
    <t>VerifyList_Contain</t>
    <phoneticPr fontId="8" type="noConversion"/>
  </si>
  <si>
    <t>度</t>
    <phoneticPr fontId="8" type="noConversion"/>
  </si>
  <si>
    <t>class;user</t>
    <phoneticPr fontId="8" type="noConversion"/>
  </si>
  <si>
    <t>VerifyList_match</t>
    <phoneticPr fontId="8" type="noConversion"/>
  </si>
  <si>
    <t>id;^[0-9]*$</t>
    <phoneticPr fontId="8" type="noConversion"/>
  </si>
  <si>
    <t>VerifyList_Sorting</t>
    <phoneticPr fontId="8" type="noConversion"/>
  </si>
  <si>
    <t>用法1：验证是否升序</t>
    <phoneticPr fontId="8" type="noConversion"/>
  </si>
  <si>
    <t>Ascending</t>
    <phoneticPr fontId="8" type="noConversion"/>
  </si>
  <si>
    <t>用法2：验证是否降序</t>
    <phoneticPr fontId="8" type="noConversion"/>
  </si>
  <si>
    <t>Descending</t>
    <phoneticPr fontId="8" type="noConversion"/>
  </si>
  <si>
    <t>Buffer</t>
    <phoneticPr fontId="8" type="noConversion"/>
  </si>
  <si>
    <t>variableName</t>
    <phoneticPr fontId="8" type="noConversion"/>
  </si>
  <si>
    <t>Buffer_Replace</t>
    <phoneticPr fontId="8" type="noConversion"/>
  </si>
  <si>
    <t>用法1</t>
    <phoneticPr fontId="8" type="noConversion"/>
  </si>
  <si>
    <t>期望结果</t>
    <phoneticPr fontId="8" type="noConversion"/>
  </si>
  <si>
    <t>page</t>
    <phoneticPr fontId="8" type="noConversion"/>
  </si>
  <si>
    <t>element</t>
    <phoneticPr fontId="8" type="noConversion"/>
  </si>
  <si>
    <t>variableName;一共有</t>
    <phoneticPr fontId="8" type="noConversion"/>
  </si>
  <si>
    <t>Buffer_Pattern</t>
    <phoneticPr fontId="8" type="noConversion"/>
  </si>
  <si>
    <t>variableName;[0-9]*</t>
    <phoneticPr fontId="8" type="noConversion"/>
  </si>
  <si>
    <t>OpenURL</t>
    <phoneticPr fontId="8" type="noConversion"/>
  </si>
  <si>
    <t>url</t>
    <phoneticPr fontId="8" type="noConversion"/>
  </si>
  <si>
    <t>Compare_Equal</t>
    <phoneticPr fontId="8" type="noConversion"/>
  </si>
  <si>
    <t>1;1</t>
    <phoneticPr fontId="8" type="noConversion"/>
  </si>
  <si>
    <t>GV:vaiableName;test</t>
    <phoneticPr fontId="8" type="noConversion"/>
  </si>
  <si>
    <t>GV:vaiableName1;GV:vaiableName2</t>
    <phoneticPr fontId="8" type="noConversion"/>
  </si>
  <si>
    <t>WaitOn</t>
    <phoneticPr fontId="8" type="noConversion"/>
  </si>
  <si>
    <t>用法1:等待2秒</t>
    <phoneticPr fontId="8" type="noConversion"/>
  </si>
  <si>
    <t>MouseAction</t>
    <phoneticPr fontId="8" type="noConversion"/>
  </si>
  <si>
    <t>用法1：鼠标双击</t>
    <phoneticPr fontId="8" type="noConversion"/>
  </si>
  <si>
    <t>DoubleClick</t>
    <phoneticPr fontId="8" type="noConversion"/>
  </si>
  <si>
    <t>用法2：鼠标右击</t>
    <phoneticPr fontId="8" type="noConversion"/>
  </si>
  <si>
    <t>RightClick</t>
    <phoneticPr fontId="8" type="noConversion"/>
  </si>
  <si>
    <t>用法3：鼠标左击</t>
    <phoneticPr fontId="8" type="noConversion"/>
  </si>
  <si>
    <t>LeftClick</t>
    <phoneticPr fontId="8" type="noConversion"/>
  </si>
  <si>
    <t>用法4：鼠标拖动某个元素到某个位置，位置是相对位置</t>
    <phoneticPr fontId="8" type="noConversion"/>
  </si>
  <si>
    <t>DragAndDrop;1000;0</t>
    <phoneticPr fontId="8" type="noConversion"/>
  </si>
  <si>
    <t>用法5：鼠标指针移动到某个位置，位置是相对位置</t>
    <phoneticPr fontId="8" type="noConversion"/>
  </si>
  <si>
    <t>MoveByOffset;200;0</t>
    <phoneticPr fontId="8" type="noConversion"/>
  </si>
  <si>
    <t>用法6：鼠标移动到某个页面元素上面</t>
    <phoneticPr fontId="8" type="noConversion"/>
  </si>
  <si>
    <t>MoveToElement</t>
    <phoneticPr fontId="8" type="noConversion"/>
  </si>
  <si>
    <t>KeyboardOperation</t>
    <phoneticPr fontId="8" type="noConversion"/>
  </si>
  <si>
    <t>Enter</t>
    <phoneticPr fontId="8" type="noConversion"/>
  </si>
  <si>
    <t>Delete</t>
    <phoneticPr fontId="8" type="noConversion"/>
  </si>
  <si>
    <t>Backspace</t>
    <phoneticPr fontId="8" type="noConversion"/>
  </si>
  <si>
    <t>KeyboardOperation</t>
    <phoneticPr fontId="8" type="noConversion"/>
  </si>
  <si>
    <t>Tab</t>
    <phoneticPr fontId="8" type="noConversion"/>
  </si>
  <si>
    <t>Shift</t>
    <phoneticPr fontId="8" type="noConversion"/>
  </si>
  <si>
    <t>Ctrl</t>
    <phoneticPr fontId="8" type="noConversion"/>
  </si>
  <si>
    <t>Alt</t>
    <phoneticPr fontId="8" type="noConversion"/>
  </si>
  <si>
    <t>KeyboardOperation</t>
    <phoneticPr fontId="8" type="noConversion"/>
  </si>
  <si>
    <t>Esc</t>
    <phoneticPr fontId="8" type="noConversion"/>
  </si>
  <si>
    <t>SwitchToFrame</t>
    <phoneticPr fontId="8" type="noConversion"/>
  </si>
  <si>
    <t>frame</t>
    <phoneticPr fontId="8" type="noConversion"/>
  </si>
  <si>
    <t>SwitchOutOfFrame</t>
    <phoneticPr fontId="8" type="noConversion"/>
  </si>
  <si>
    <t>ConfirmIfConfirmationPopup</t>
    <phoneticPr fontId="8" type="noConversion"/>
  </si>
  <si>
    <t>AcceptIfAlertPopup</t>
    <phoneticPr fontId="8" type="noConversion"/>
  </si>
  <si>
    <t>InputDate</t>
    <phoneticPr fontId="8" type="noConversion"/>
  </si>
  <si>
    <t>用法1：输入格式是yyyyMMdd的时候</t>
    <phoneticPr fontId="8" type="noConversion"/>
  </si>
  <si>
    <t>InputDate</t>
    <phoneticPr fontId="8" type="noConversion"/>
  </si>
  <si>
    <t>20180102</t>
    <phoneticPr fontId="8" type="noConversion"/>
  </si>
  <si>
    <t>用法2：输入格式是yyyyMMdd的时候</t>
    <phoneticPr fontId="8" type="noConversion"/>
  </si>
  <si>
    <t>用法3：输入格式是yyyyMMdd的时候</t>
    <phoneticPr fontId="8" type="noConversion"/>
  </si>
  <si>
    <t>用法4：输入格式是yyyyMMdd的时候</t>
    <phoneticPr fontId="8" type="noConversion"/>
  </si>
  <si>
    <t>today</t>
    <phoneticPr fontId="8" type="noConversion"/>
  </si>
  <si>
    <t>用法5：输入格式是yyyyMMdd的时候</t>
    <phoneticPr fontId="8" type="noConversion"/>
  </si>
  <si>
    <t>nextMonth</t>
    <phoneticPr fontId="8" type="noConversion"/>
  </si>
  <si>
    <t>用法6：输入格式是yyyyMMdd的时候</t>
    <phoneticPr fontId="8" type="noConversion"/>
  </si>
  <si>
    <t>lastMonth</t>
    <phoneticPr fontId="8" type="noConversion"/>
  </si>
  <si>
    <t>用法7：输入格式是yyyyMMdd的时候</t>
    <phoneticPr fontId="8" type="noConversion"/>
  </si>
  <si>
    <t>yesterday</t>
    <phoneticPr fontId="8" type="noConversion"/>
  </si>
  <si>
    <t>用法8：输入格式是yyyyMMdd的时候</t>
    <phoneticPr fontId="8" type="noConversion"/>
  </si>
  <si>
    <t>tomorrow</t>
    <phoneticPr fontId="8" type="noConversion"/>
  </si>
  <si>
    <t>用法9：输入格式是yyyyMMdd的时候</t>
    <phoneticPr fontId="8" type="noConversion"/>
  </si>
  <si>
    <t>nextWeek</t>
    <phoneticPr fontId="8" type="noConversion"/>
  </si>
  <si>
    <t>用法10：输入格式不是yyyyMMdd的时候，需要指明所需格式</t>
    <phoneticPr fontId="8" type="noConversion"/>
  </si>
  <si>
    <t>2018-01-02</t>
    <phoneticPr fontId="8" type="noConversion"/>
  </si>
  <si>
    <t>用法11：输入格式不是yyyyMMdd的时候，需要指明所需格式</t>
    <phoneticPr fontId="8" type="noConversion"/>
  </si>
  <si>
    <t>-20;yyyy-MM-dd</t>
    <phoneticPr fontId="8" type="noConversion"/>
  </si>
  <si>
    <t>nextMonth;yyyy-MM-dd</t>
    <phoneticPr fontId="8" type="noConversion"/>
  </si>
  <si>
    <t>yesterday;yyyy-MM-dd</t>
    <phoneticPr fontId="8" type="noConversion"/>
  </si>
  <si>
    <t>tomorrow;yyyy-MM-dd</t>
    <phoneticPr fontId="8" type="noConversion"/>
  </si>
  <si>
    <t>nextWeek;yyyy-MM-dd</t>
    <phoneticPr fontId="8" type="noConversion"/>
  </si>
  <si>
    <t>Input_WithExcelValue</t>
    <phoneticPr fontId="8" type="noConversion"/>
  </si>
  <si>
    <t>用法1：从text.xlsx里面testsheet表里面的第4行第5列的单元格取值，并输入页面</t>
    <phoneticPr fontId="8" type="noConversion"/>
  </si>
  <si>
    <t>text.xlsx;testsheet;3;4</t>
    <phoneticPr fontId="8" type="noConversion"/>
  </si>
  <si>
    <t>用法2：从text.xlsx里面testsheet表里面的第4行并列头名是数值的单元格取值，并输入页面</t>
    <phoneticPr fontId="8" type="noConversion"/>
  </si>
  <si>
    <t>text.xlsx;testsheet;3;数值</t>
    <phoneticPr fontId="8" type="noConversion"/>
  </si>
  <si>
    <t>用法3：从text.xlsx里面testsheet表里面的行头是总计的第5列的单元格取值，并输入页面</t>
    <phoneticPr fontId="8" type="noConversion"/>
  </si>
  <si>
    <t>text.xlsx;testsheet;总计;0</t>
    <phoneticPr fontId="8" type="noConversion"/>
  </si>
  <si>
    <t>用法4：从text.xlsx里面testsheet表里面的行头名是总计且列头名是数值的单元格取值，并输入页面</t>
    <phoneticPr fontId="8" type="noConversion"/>
  </si>
  <si>
    <t>text.xlsx;testsheet;总计;数值</t>
    <phoneticPr fontId="8" type="noConversion"/>
  </si>
  <si>
    <t>Verify_Text_Equal_WithExcelValue</t>
    <phoneticPr fontId="8" type="noConversion"/>
  </si>
  <si>
    <t>用法1：从text.xlsx里面testsheet表里面的第4行第5列的单元格取值，并跟页面对比</t>
    <phoneticPr fontId="8" type="noConversion"/>
  </si>
  <si>
    <t>用法2：从text.xlsx里面testsheet表里面的第4行并列头名是数值的单元格取值，并跟页面对比</t>
    <phoneticPr fontId="8" type="noConversion"/>
  </si>
  <si>
    <t>用法3：从text.xlsx里面testsheet表里面的行头是总计的第5列的单元格取值，并跟页面对比</t>
    <phoneticPr fontId="8" type="noConversion"/>
  </si>
  <si>
    <t>用法4：从text.xlsx里面testsheet表里面的行头名是总计且列头名是数值的单元格取值，并跟页面对比</t>
    <phoneticPr fontId="8" type="noConversion"/>
  </si>
  <si>
    <t>ExportFileAndCopyToExpectedPath</t>
    <phoneticPr fontId="8" type="noConversion"/>
  </si>
  <si>
    <t>点击导出按钮，系统自动保存文件在默认路径，然后将导出的文件拷贝到指定的位置：TestData文件夹</t>
    <phoneticPr fontId="8" type="noConversion"/>
  </si>
  <si>
    <t>text.xlsx</t>
    <phoneticPr fontId="8" type="noConversion"/>
  </si>
  <si>
    <t>当需要滚动页面某一个表格或者框架的水平滚动条时使用。</t>
  </si>
  <si>
    <r>
      <t>element
（</t>
    </r>
    <r>
      <rPr>
        <sz val="11"/>
        <color rgb="FFFF0000"/>
        <rFont val="宋体"/>
        <family val="3"/>
        <charset val="134"/>
        <scheme val="minor"/>
      </rPr>
      <t>滚动条所在的表格或者框架（div等),PageObjects中的ByType必须是cssSelector。</t>
    </r>
    <r>
      <rPr>
        <sz val="11"/>
        <color theme="1"/>
        <rFont val="宋体"/>
        <family val="3"/>
        <charset val="134"/>
        <scheme val="minor"/>
      </rPr>
      <t>）</t>
    </r>
    <phoneticPr fontId="8" type="noConversion"/>
  </si>
  <si>
    <t>当需要滚动页面某一个表格或者框架的垂直滚动条时使用。</t>
  </si>
  <si>
    <t>ScrollIntoView</t>
  </si>
  <si>
    <t>当元素不在可见页面窗口是，可以用该方法拖动到页面可以看到改元素的位置。</t>
  </si>
  <si>
    <t>用于浏览器窗口的水平滚动条，左右拖动。</t>
  </si>
  <si>
    <t>用于浏览器窗口的垂直滚动条，上下拖动。</t>
  </si>
  <si>
    <t>切换页面</t>
    <phoneticPr fontId="8" type="noConversion"/>
  </si>
  <si>
    <t>切换成功</t>
    <phoneticPr fontId="8" type="noConversion"/>
  </si>
  <si>
    <t>http://10.16.85.47/s/cmShop/#/activityGroupMgr</t>
    <phoneticPr fontId="8" type="noConversion"/>
  </si>
  <si>
    <t>SelectFromDropdownList_3</t>
    <phoneticPr fontId="8" type="noConversion"/>
  </si>
  <si>
    <t>选择下拉列表</t>
    <phoneticPr fontId="8" type="noConversion"/>
  </si>
  <si>
    <t>下拉列表值</t>
    <phoneticPr fontId="8" type="noConversion"/>
  </si>
  <si>
    <r>
      <t xml:space="preserve">1.页面元素：定位到input标签
2.data数据：填上需要用到的excel表及单元格信息，格式如下：
 -格式1：excel文件名;sheet名;行号（从0开始）;列号（从0开始）
    例子：text.xlsx;testsheet;3;4
 -格式2：excel文件名;sheet名;行号（从0开始）;列头名
    例子：text.xlsx;testsheet;3;数值
 -格式3：excel文件名;sheet名;行头名;列号（从0开始）
    例子：text.xlsx;testsheet;总计;0
 -格式4：excel文件名;sheet名;行头名;列头名
    例子：text.xlsx;testsheet;总计;数值
</t>
    </r>
    <r>
      <rPr>
        <b/>
        <sz val="11"/>
        <color rgb="FF0000FF"/>
        <rFont val="宋体"/>
        <family val="3"/>
        <charset val="134"/>
        <scheme val="minor"/>
      </rPr>
      <t>注意：这个excel必须是保存在项目的TestData文件夹下。</t>
    </r>
    <r>
      <rPr>
        <sz val="11"/>
        <color theme="1"/>
        <rFont val="宋体"/>
        <family val="3"/>
        <charset val="134"/>
        <scheme val="minor"/>
      </rPr>
      <t xml:space="preserve">
</t>
    </r>
    <phoneticPr fontId="8" type="noConversion"/>
  </si>
  <si>
    <t>AutoIt_SelectFileToUpload</t>
    <phoneticPr fontId="8" type="noConversion"/>
  </si>
  <si>
    <t>上传文件，input标签的type不是等于file的时候才使用，这个是通过AutoIt工具对打开文件的Windows窗口做操作</t>
    <phoneticPr fontId="8" type="noConversion"/>
  </si>
  <si>
    <t>ExportFileAndCopyToExpectedPath</t>
    <phoneticPr fontId="8" type="noConversion"/>
  </si>
  <si>
    <t>Verify_Displayed</t>
    <phoneticPr fontId="8" type="noConversion"/>
  </si>
  <si>
    <t>Buffer</t>
    <phoneticPr fontId="8" type="noConversion"/>
  </si>
  <si>
    <t>OpenNewTabWithAURL</t>
    <phoneticPr fontId="8" type="noConversion"/>
  </si>
  <si>
    <t>AcceptIfAlertPopup</t>
    <phoneticPr fontId="8" type="noConversion"/>
  </si>
  <si>
    <t>AcceptAlert</t>
    <phoneticPr fontId="8" type="noConversion"/>
  </si>
  <si>
    <t>DismissAlert</t>
    <phoneticPr fontId="8" type="noConversion"/>
  </si>
  <si>
    <t>ScrollTop</t>
    <phoneticPr fontId="8" type="noConversion"/>
  </si>
  <si>
    <t>ScrollIntoView</t>
    <phoneticPr fontId="8" type="noConversion"/>
  </si>
  <si>
    <t>Browser_ScrollLeft</t>
    <phoneticPr fontId="8" type="noConversion"/>
  </si>
  <si>
    <t>Browser_ScrollTop</t>
    <phoneticPr fontId="8" type="noConversion"/>
  </si>
  <si>
    <t>CurrentPageRefresh</t>
    <phoneticPr fontId="8" type="noConversion"/>
  </si>
  <si>
    <t>CurrentWindowClose</t>
    <phoneticPr fontId="8" type="noConversion"/>
  </si>
  <si>
    <t>InputDate</t>
    <phoneticPr fontId="8" type="noConversion"/>
  </si>
  <si>
    <t>InputDate_DeleteValueFisrt</t>
    <phoneticPr fontId="8" type="noConversion"/>
  </si>
  <si>
    <t>InputDate_readonly</t>
    <phoneticPr fontId="8" type="noConversion"/>
  </si>
  <si>
    <t>ClickAll</t>
    <phoneticPr fontId="8" type="noConversion"/>
  </si>
  <si>
    <t>类型</t>
    <phoneticPr fontId="8" type="noConversion"/>
  </si>
  <si>
    <t>类和方法名</t>
    <phoneticPr fontId="8" type="noConversion"/>
  </si>
  <si>
    <t>分类</t>
    <phoneticPr fontId="8" type="noConversion"/>
  </si>
  <si>
    <t>常规操作</t>
    <phoneticPr fontId="8" type="noConversion"/>
  </si>
  <si>
    <t>该方法是点击导出按钮，系统自动保存文件在默认路径，然后将导出的文件拷贝到指定的位置：TestData文件夹
使用该方法前提是需要将系统默认导出的路径配置在Config.xlsx里面</t>
    <phoneticPr fontId="8" type="noConversion"/>
  </si>
  <si>
    <t>验证操作</t>
    <phoneticPr fontId="8" type="noConversion"/>
  </si>
  <si>
    <r>
      <t xml:space="preserve">1.页面元素：定位到需要验证的文本位置
2.data数据：填上需要用到的excel表及单元格信息，格式如下：
 -格式1：excel文件名;sheet名;行号（从0开始）;列号（从0开始）
    例子：text.xlsx;testsheet;3;4
 -格式2：excel文件名;sheet名;行号（从0开始）;列头名
    例子：text.xlsx;testsheet;3;数值
 -格式3：excel文件名;sheet名;行头名;列号（从0开始）
    例子：text.xlsx;testsheet;总计;0
 -格式4：excel文件名;sheet名;行头名;列头名
    例子：text.xlsx;testsheet;总计;数值
</t>
    </r>
    <r>
      <rPr>
        <b/>
        <sz val="11"/>
        <color rgb="FF0000FF"/>
        <rFont val="宋体"/>
        <family val="3"/>
        <charset val="134"/>
        <scheme val="minor"/>
      </rPr>
      <t xml:space="preserve">注意：这个excel必须是保存在项目的TestData文件夹下。
</t>
    </r>
    <phoneticPr fontId="8" type="noConversion"/>
  </si>
  <si>
    <t>浏览器操作</t>
    <phoneticPr fontId="8" type="noConversion"/>
  </si>
  <si>
    <t>SwitchToNearestWindow</t>
    <phoneticPr fontId="8" type="noConversion"/>
  </si>
  <si>
    <t>设置变量操作</t>
    <phoneticPr fontId="8" type="noConversion"/>
  </si>
  <si>
    <t>滚动条操作</t>
    <phoneticPr fontId="8" type="noConversion"/>
  </si>
  <si>
    <t>对Alert处理</t>
    <phoneticPr fontId="8" type="noConversion"/>
  </si>
  <si>
    <t>文件上传/下载操作</t>
    <phoneticPr fontId="8" type="noConversion"/>
  </si>
  <si>
    <t>数据库操作</t>
    <phoneticPr fontId="8" type="noConversion"/>
  </si>
  <si>
    <t>特殊输入操作</t>
    <phoneticPr fontId="8" type="noConversion"/>
  </si>
  <si>
    <t>特殊点击操作</t>
    <phoneticPr fontId="8" type="noConversion"/>
  </si>
  <si>
    <t>特殊下拉框选择操作</t>
    <phoneticPr fontId="8" type="noConversion"/>
  </si>
  <si>
    <t>DragAndDropElement</t>
    <phoneticPr fontId="8" type="noConversion"/>
  </si>
  <si>
    <t>DB_Connecton</t>
    <phoneticPr fontId="8" type="noConversion"/>
  </si>
  <si>
    <t>智能等待操作</t>
    <phoneticPr fontId="8" type="noConversion"/>
  </si>
  <si>
    <t>Common</t>
    <phoneticPr fontId="8" type="noConversion"/>
  </si>
  <si>
    <t>waitForObjectADisappear</t>
    <phoneticPr fontId="8" type="noConversion"/>
  </si>
  <si>
    <t xml:space="preserve">首先清除当前日期输入框的日期值，再输入给定的日期格式或使用默认格式“yyyyMMdd”，可以选择特定值来满足当前时间的前一天或几天/当天/后一天或几天
</t>
    <phoneticPr fontId="8" type="noConversion"/>
  </si>
  <si>
    <t xml:space="preserve">针对于日期输入框存在只读（readOnly）属性，需先去掉该属性，才能去正常输入的应用场景
</t>
    <phoneticPr fontId="8" type="noConversion"/>
  </si>
  <si>
    <t xml:space="preserve">输入给定的日期格式或使用默认格式“yyyyMMdd”，可以选择特定值来满足当前时间的前一天或几天/当天/后一天或几天
</t>
    <phoneticPr fontId="8" type="noConversion"/>
  </si>
  <si>
    <t xml:space="preserve">输入随机数
</t>
    <phoneticPr fontId="8" type="noConversion"/>
  </si>
  <si>
    <t xml:space="preserve">上传文件，当input标签的type是等于file的时候可使用
</t>
    <phoneticPr fontId="8" type="noConversion"/>
  </si>
  <si>
    <t xml:space="preserve">用于判断确定弹出框是否出现，如果出现则按确定按钮去关闭弹出框
</t>
    <phoneticPr fontId="8" type="noConversion"/>
  </si>
  <si>
    <t xml:space="preserve">关闭当前浏览器窗口
</t>
    <phoneticPr fontId="8" type="noConversion"/>
  </si>
  <si>
    <t xml:space="preserve">刷新当前页面
</t>
    <phoneticPr fontId="8" type="noConversion"/>
  </si>
  <si>
    <t xml:space="preserve">验证集合里面是否有值等于该预期值
</t>
    <phoneticPr fontId="8" type="noConversion"/>
  </si>
  <si>
    <t xml:space="preserve">验证集合里面是否有值包含该预期值
</t>
    <phoneticPr fontId="8" type="noConversion"/>
  </si>
  <si>
    <t xml:space="preserve">验证集合里面是否有值满足该正则表达式
</t>
    <phoneticPr fontId="8" type="noConversion"/>
  </si>
  <si>
    <t xml:space="preserve">从excel里面取值并输入在页面中
</t>
    <phoneticPr fontId="8" type="noConversion"/>
  </si>
  <si>
    <t xml:space="preserve">用于和数据库建立连接
</t>
    <phoneticPr fontId="8" type="noConversion"/>
  </si>
  <si>
    <t xml:space="preserve">用于执行data传入的sql语句
</t>
    <phoneticPr fontId="8" type="noConversion"/>
  </si>
  <si>
    <t xml:space="preserve">用于执行TestData目录下的sql文件中的查询语句
</t>
    <phoneticPr fontId="8" type="noConversion"/>
  </si>
  <si>
    <t xml:space="preserve">用于执行data传入的update语句
</t>
    <phoneticPr fontId="8" type="noConversion"/>
  </si>
  <si>
    <t xml:space="preserve">用于断开数据库连接
</t>
    <phoneticPr fontId="8" type="noConversion"/>
  </si>
  <si>
    <t xml:space="preserve">用于执行查询语句
</t>
    <phoneticPr fontId="8" type="noConversion"/>
  </si>
  <si>
    <t>waitForElementToBeClickable</t>
    <phoneticPr fontId="8" type="noConversion"/>
  </si>
  <si>
    <t xml:space="preserve">1.页面元素：PageObjects表填写的元素对象（id/tagName/class/cssSelector/xpath/linkText/paritalLinkText）
2.data数据：等待的时间（毫秒）
</t>
    <phoneticPr fontId="8" type="noConversion"/>
  </si>
  <si>
    <t xml:space="preserve">1.页面元素：PageObjects表填写的元素对象（id/tagName/class/cssSelector/xpath/linkText/paritalLinkText）
2.data数据：等待的时间（毫秒）
</t>
    <phoneticPr fontId="8" type="noConversion"/>
  </si>
  <si>
    <r>
      <t>1.页面元素：PageObjects表填写的元素对象（id/tagName/class/cssSelector/xpath/linkText/paritalLinkText)</t>
    </r>
    <r>
      <rPr>
        <sz val="11"/>
        <color theme="1"/>
        <rFont val="宋体"/>
        <family val="3"/>
        <charset val="134"/>
        <scheme val="minor"/>
      </rPr>
      <t xml:space="preserve">
2.data数据：无
</t>
    </r>
    <phoneticPr fontId="8" type="noConversion"/>
  </si>
  <si>
    <t xml:space="preserve">1.页面元素：定位到input标签
2.data数据：需要输入的随机数，用正则表达式表示
</t>
    <phoneticPr fontId="8" type="noConversion"/>
  </si>
  <si>
    <t>waitForAttributeToBe</t>
    <phoneticPr fontId="8" type="noConversion"/>
  </si>
  <si>
    <t>waitForAttributeContains</t>
    <phoneticPr fontId="8" type="noConversion"/>
  </si>
  <si>
    <t>waitForNumOfWindowsToBe</t>
    <phoneticPr fontId="8" type="noConversion"/>
  </si>
  <si>
    <t xml:space="preserve">等待元素是否在设定的时间内可见，如果该元素可见，则马上进行下一步操作，不会继续等待
</t>
    <phoneticPr fontId="8" type="noConversion"/>
  </si>
  <si>
    <t xml:space="preserve">等待元素是否在设定的时间内消失，如果该元素消失，则马上进行下一步操作，不会继续等待
</t>
    <phoneticPr fontId="8" type="noConversion"/>
  </si>
  <si>
    <t xml:space="preserve">等待元素是否在设定的时间内可被点击，如果该元素可被点击，则马上进行下一步操作，不会继续等待
</t>
    <phoneticPr fontId="8" type="noConversion"/>
  </si>
  <si>
    <t xml:space="preserve">等待元素属性值是否在设定的时间内出现，如果该元素属性值出现，则马上进行下一步操作，不会继续等待
</t>
    <phoneticPr fontId="8" type="noConversion"/>
  </si>
  <si>
    <t xml:space="preserve">等待元素部分属性值是否在设定的时间内出现，如果该元素部分属性值出现，则马上进行下一步操作，不会继续等待
</t>
    <phoneticPr fontId="8" type="noConversion"/>
  </si>
  <si>
    <t xml:space="preserve">等待在设定的时间内出现的窗口数量与data数量是否相等，如果相等，则马上进行下一步操作，不会继续等待
</t>
    <phoneticPr fontId="8" type="noConversion"/>
  </si>
  <si>
    <t>WaitForStatusChange</t>
    <phoneticPr fontId="8" type="noConversion"/>
  </si>
  <si>
    <t>waitForTextAppear</t>
    <phoneticPr fontId="8" type="noConversion"/>
  </si>
  <si>
    <t xml:space="preserve">等待在设定的时间内出现的文本值是否与data传进来的文本值一致，如果一致，则马上进行下一步操作，不会继续等待
注意：该方法有个判断，如果不一致会刷新当前页面，这个动作会重复两次
</t>
    <phoneticPr fontId="8" type="noConversion"/>
  </si>
  <si>
    <t xml:space="preserve">等待在设定的时间内出现的文本值是否与data传进来的文本值一致，如果一致，则马上进行下一步操作，不会继续等待
</t>
    <phoneticPr fontId="8" type="noConversion"/>
  </si>
  <si>
    <t>waitForTextContains</t>
    <phoneticPr fontId="8" type="noConversion"/>
  </si>
  <si>
    <t xml:space="preserve">等待在设定的时间内出现的文本值是否包含data传进来的文本值，如果包含，则马上进行下一步操作，不会继续等待
</t>
    <phoneticPr fontId="8" type="noConversion"/>
  </si>
  <si>
    <t>waitForTextMatches</t>
    <phoneticPr fontId="8" type="noConversion"/>
  </si>
  <si>
    <t xml:space="preserve">等待在设定的时间内出现的文本值是否匹配data传进来的正则表达式，如果匹配，则马上进行下一步操作，不会继续等待
</t>
    <phoneticPr fontId="8" type="noConversion"/>
  </si>
  <si>
    <t>waitForTextToBe</t>
    <phoneticPr fontId="8" type="noConversion"/>
  </si>
  <si>
    <t>waitForURLContains</t>
    <phoneticPr fontId="8" type="noConversion"/>
  </si>
  <si>
    <t xml:space="preserve">等待在设定的时间内出现的页面url值是否包含data传进来的url值，如果包含，则马上进行下一步操作，不会继续等待
</t>
    <phoneticPr fontId="8" type="noConversion"/>
  </si>
  <si>
    <t>waitForURLIs</t>
    <phoneticPr fontId="8" type="noConversion"/>
  </si>
  <si>
    <t xml:space="preserve">等待在设定的时间内出现的页面url值是否与data传进来的url值相等，如果相等，则马上进行下一步操作，不会继续等待
</t>
    <phoneticPr fontId="8" type="noConversion"/>
  </si>
  <si>
    <t>waitForValueAttributeContains</t>
    <phoneticPr fontId="8" type="noConversion"/>
  </si>
  <si>
    <t xml:space="preserve">等待在设定的时间内元素value属性的属性值是否包含data传进来的值，如果包含，则马上进行下一步操作，不会继续等待
</t>
    <phoneticPr fontId="8" type="noConversion"/>
  </si>
  <si>
    <t>waitForWindowsTitleContains</t>
    <phoneticPr fontId="8" type="noConversion"/>
  </si>
  <si>
    <t xml:space="preserve">等待在设定的时间内浏览器打开的窗口标题是否包含data传进来的标题，如果包含，则马上进行下一步操作，不会继续等待
</t>
    <phoneticPr fontId="8" type="noConversion"/>
  </si>
  <si>
    <t>waitForWindowsTitleIs</t>
    <phoneticPr fontId="8" type="noConversion"/>
  </si>
  <si>
    <t xml:space="preserve">等待在设定的时间内当前窗口的标题是否与data传进来的标题相等，如果相等，则马上进行下一步操作，不会继续等待
</t>
    <phoneticPr fontId="8" type="noConversion"/>
  </si>
  <si>
    <t>常规操作 计数</t>
  </si>
  <si>
    <t>验证操作 计数</t>
  </si>
  <si>
    <t>智能等待操作 计数</t>
  </si>
  <si>
    <t>浏览器操作 计数</t>
  </si>
  <si>
    <t>设置变量操作 计数</t>
  </si>
  <si>
    <t>滚动条操作 计数</t>
  </si>
  <si>
    <t>文件上传/下载操作 计数</t>
  </si>
  <si>
    <t>对Alert处理 计数</t>
  </si>
  <si>
    <t>特殊输入操作 计数</t>
  </si>
  <si>
    <t>特殊点击操作 计数</t>
  </si>
  <si>
    <t>特殊下拉框选择操作 计数</t>
  </si>
  <si>
    <t>数据库操作 计数</t>
  </si>
  <si>
    <t>总计数</t>
  </si>
  <si>
    <t>自定义</t>
    <phoneticPr fontId="8" type="noConversion"/>
  </si>
  <si>
    <t>自定义 计数</t>
  </si>
  <si>
    <t xml:space="preserve">1.页面元素：PageObjects表填写的元素对象（id/tagName/class/cssSelector/xpath/linkText/paritalLinkText)
2.data数据：填写需要输入的数据
</t>
    <phoneticPr fontId="8" type="noConversion"/>
  </si>
  <si>
    <t xml:space="preserve">启动浏览器后，打开一个网址
</t>
    <phoneticPr fontId="8" type="noConversion"/>
  </si>
  <si>
    <t xml:space="preserve">在输入框里输入数据（data)
</t>
    <phoneticPr fontId="8" type="noConversion"/>
  </si>
  <si>
    <t xml:space="preserve">对页面上的元素做点击操作
</t>
    <phoneticPr fontId="8" type="noConversion"/>
  </si>
  <si>
    <t xml:space="preserve">1.页面元素：无
2.data数据：填写需要等待的时间，以毫秒为单位，例如：3000，表示等待3秒钟
</t>
    <phoneticPr fontId="8" type="noConversion"/>
  </si>
  <si>
    <t xml:space="preserve">固定等待data传入的毫秒数
</t>
    <phoneticPr fontId="8" type="noConversion"/>
  </si>
  <si>
    <t xml:space="preserve">用于select标签的元素，选择下拉框里面的某个值，可以通过data传入的文本值，也可以是1到9的正整数
</t>
    <phoneticPr fontId="8" type="noConversion"/>
  </si>
  <si>
    <r>
      <t>1.页面元素：不需要传页面元素
2.data数据：网址（URL），例如登录系统的网址：http</t>
    </r>
    <r>
      <rPr>
        <sz val="11"/>
        <color theme="1"/>
        <rFont val="宋体"/>
        <family val="3"/>
        <charset val="134"/>
        <scheme val="minor"/>
      </rPr>
      <t>://www.baidu.com</t>
    </r>
    <r>
      <rPr>
        <sz val="11"/>
        <color theme="1"/>
        <rFont val="宋体"/>
        <family val="3"/>
        <charset val="134"/>
        <scheme val="minor"/>
      </rPr>
      <t xml:space="preserve">
</t>
    </r>
    <phoneticPr fontId="8" type="noConversion"/>
  </si>
  <si>
    <t xml:space="preserve">1.页面元素：不需要传页面元素
2.data数据：可供选择的值有：DoubleClick、RightClick、MoveToElement、LeftClick、MoveByOffset、DragAndDrop;
 -a）DragAndDrop&lt;整数：x坐标移动值&gt;;&lt;整数：y坐标移动值&gt;;
 -b) MoveByOffset;&lt;整数：x坐标移动值&gt;;&lt;整数：y坐标移动值&gt;;
注意:如果是DragAndDrop或MoveByOffset,后面需要加两个坐标值,用英文分号（;）隔开;如:DragAndDrop;1000;0 或者 MoveByOffset;200;0,其他选项不需要x,y坐标值,如：DoubleClick
</t>
    <phoneticPr fontId="8" type="noConversion"/>
  </si>
  <si>
    <t xml:space="preserve">键盘操作，单个键：
 -a) Enter表示：手动按下回车键
 -b) Delete表示：手动按下删除键
 -c) Backspace表示：手动按下空格键
 -d) Tab表示：手动按下Tab键
依次类推;
组合键：
 -a) copy表示：手动按下Ctrl + C
 -b) paste表示：手动按下Ctrl + V
 -c) SelectAll表示：手动按下Ctrl + A
</t>
    <phoneticPr fontId="8" type="noConversion"/>
  </si>
  <si>
    <t xml:space="preserve">1.页面元素：不需要传页面元素
2.data数据：可供选择的值有：
 -a) 单个键：表示单独按下某一个键,例如：Enter,Delete,Backspace,Tab,Shift,Ctrl,Alt,Esc;
 -b) 组合键：表示同时按下两个或两个以上的键,例如：copy,paste,SelectAll
</t>
    <phoneticPr fontId="8" type="noConversion"/>
  </si>
  <si>
    <r>
      <t>1.页面元素：PageObjects表填写的元素对象（id/tagName/class/cssSelector/xpath/linkText/paritalLinkText)</t>
    </r>
    <r>
      <rPr>
        <sz val="11"/>
        <color theme="1"/>
        <rFont val="宋体"/>
        <family val="3"/>
        <charset val="134"/>
        <scheme val="minor"/>
      </rPr>
      <t xml:space="preserve">
2.data数据：不需要填写数据
</t>
    </r>
    <phoneticPr fontId="8" type="noConversion"/>
  </si>
  <si>
    <t xml:space="preserve">1.页面元素：不需要传页面元素
2.data数据：不需要填写数据
</t>
    <phoneticPr fontId="8" type="noConversion"/>
  </si>
  <si>
    <t>使用场景：当前用例的前面步骤有切换到某个iFrame框架当中，当现操作的元素在该iFrame框架之外，则需要跳出iFrame框架，才能对外面的元素进行操作，否则会报NoSuchElementException错误</t>
    <phoneticPr fontId="8" type="noConversion"/>
  </si>
  <si>
    <t xml:space="preserve">如果需要操作的元素在iFrame标签里面，则需要先切换到当前的iFrame框架中，才能对里面的元素进行操作，否则会报NoSuchElementException错误;需要切换那个iFrame，就使用selenium八种定位页面元素的方法即可
</t>
    <phoneticPr fontId="8" type="noConversion"/>
  </si>
  <si>
    <t>Verify_Enabled</t>
    <phoneticPr fontId="8" type="noConversion"/>
  </si>
  <si>
    <t>Verify_Propery</t>
    <phoneticPr fontId="8" type="noConversion"/>
  </si>
  <si>
    <t xml:space="preserve">第一种：验证元素的文本值是否包含data传入的值；例如：百度
第二种：验证元素的属性值是否包含data传入的值（分号后面的值）；例如：s_btn
</t>
    <phoneticPr fontId="8" type="noConversion"/>
  </si>
  <si>
    <t xml:space="preserve">验证元素的某个属性值（html标签节点的属性值）是否与data传入的值（分号后面的值）相等；例如：s_btn_wr
</t>
    <phoneticPr fontId="8" type="noConversion"/>
  </si>
  <si>
    <t xml:space="preserve">验证元素的对象是否被选中，如果被选中，则返回true，否则返回false，然后拿返回值的值(实际值)与期望值比较（期望值只能填true或者false）是否相等，如：true(实际值) == true（期望值）表示相等，true(实际值) == false（期望值）表示不等
</t>
    <phoneticPr fontId="8" type="noConversion"/>
  </si>
  <si>
    <t xml:space="preserve">1.页面元素：PageObjects表填写的元素对象（id/tagName/class/cssSelector/xpath/linkText/paritalLinkText)
2.data数据：只能填true或者false，传入的数据格式如下：
 -a) true,表示被选中
 -b) false,表示未被选中
</t>
    <phoneticPr fontId="8" type="noConversion"/>
  </si>
  <si>
    <t xml:space="preserve">验证元素的对象是否显示在页面上，如果显示在页面上，则返回true，否则返回false，然后拿返回值的值(实际值)与期望值比较（期望值只能填true或者false）是否相等，如：true(实际值) == true（期望值）表示相等，true(实际值) == false（期望值）表示不等
</t>
    <phoneticPr fontId="8" type="noConversion"/>
  </si>
  <si>
    <t xml:space="preserve">验证元素的对象是否存在，如果存在，则返回true，否则返回false，然后拿返回值的值(实际值)与期望值比较（期望值只能填true或者false）是否相等，如：true(实际值) == true（期望值）表示相等，true(实际值) == false（期望值）表示不等
</t>
    <phoneticPr fontId="8" type="noConversion"/>
  </si>
  <si>
    <t xml:space="preserve">1.页面元素：PageObjects表填写的元素对象（id/tagName/class/cssSelector/xpath/linkText/paritalLinkText)
2.data数据：只能填true或者false，传入的数据格式如下：
 -a) true,表示元素显示在当前页面上
 -b) false,表示元素未显示在当前页面上
</t>
    <phoneticPr fontId="8" type="noConversion"/>
  </si>
  <si>
    <t xml:space="preserve">1.页面元素：PageObjects表填写的元素对象（id/tagName/class/cssSelector/xpath/linkText/paritalLinkText)
2.data数据：只能填true或者false，传入的数据格式如下：
 -a) true,表示元素对象存在
 -b) false,表示元素对象不存在
</t>
    <phoneticPr fontId="8" type="noConversion"/>
  </si>
  <si>
    <t xml:space="preserve">1.页面元素：PageObjects表填写的元素对象（id/tagName/class/cssSelector/xpath/linkText/paritalLinkText)
2.data数据：只能填true或者false，传入的数据格式如下：
 -a) true,表示元素启用
 -b) false,表示元素未启用
</t>
    <phoneticPr fontId="8" type="noConversion"/>
  </si>
  <si>
    <t xml:space="preserve">验证元素的对象是否启用，如果启用，则返回true，否则返回false，然后拿返回值的值(实际值)与期望值比较（期望值只能填true或者false）是否相等，如：true(实际值) == true（期望值）表示相等，true(实际值) == false（期望值）表示不等
</t>
    <phoneticPr fontId="8" type="noConversion"/>
  </si>
  <si>
    <t xml:space="preserve">直接验证元素的文本值（实际值）是否不等于期望值，如： 百度（实际值）!= 百度（期望值）
</t>
    <phoneticPr fontId="8" type="noConversion"/>
  </si>
  <si>
    <t xml:space="preserve">1.页面元素：PageObjects表填写的元素对象（id/tagName/class/cssSelector/xpath/linkText/paritalLinkText)
2.data数据：期望的数据（文本值）,格式如下：
 -百度,表示不期望元素返回的文本值
</t>
    <phoneticPr fontId="8" type="noConversion"/>
  </si>
  <si>
    <t xml:space="preserve">直接验证元素的文本值（实际值）是否等于期望值，如： 百度（实际值）== 百度（期望值）
</t>
    <phoneticPr fontId="8" type="noConversion"/>
  </si>
  <si>
    <t xml:space="preserve">1.页面元素：PageObjects表填写的元素对象（id/tagName/class/cssSelector/xpath/linkText/paritalLinkText)
2.data数据：期望的数据（文本值）,格式如下：
 -百度,表示期望元素返回的文本值
</t>
    <phoneticPr fontId="8" type="noConversion"/>
  </si>
  <si>
    <t xml:space="preserve">第一种：验证元素的文本值是否匹配data传入的正则表达式；例如：“百度”是否匹配^[\u4e00-\u9fa5]+$
第二种：验证元素的属性值是否包含data传入的正则表达式（分号后面的值）；例如：“s_btn”是否匹配^[a-zA-Z]+$
</t>
    <phoneticPr fontId="8" type="noConversion"/>
  </si>
  <si>
    <t>VerifyInputValue_Equal</t>
    <phoneticPr fontId="8" type="noConversion"/>
  </si>
  <si>
    <t xml:space="preserve">1.页面元素：PageObjects表填写的元素对象（id/tagName/class/cssSelector/xpath/linkText/paritalLinkText)
2.data数据：期望的数据,传入的数据格式如下：
 -a) 文本值,例如：百度
 -b) 属性+ 分号 + 属性值,例如：id;s_btn
</t>
    <phoneticPr fontId="8" type="noConversion"/>
  </si>
  <si>
    <t xml:space="preserve">1.页面元素：PageObjects表填写的元素对象（id/tagName/class/cssSelector/xpath/linkText/paritalLinkText)
2.data数据：期望的数据,传入的数据格式如下：
 -属性+ 分号 + 属性值,例如：id;s_btn_wr
</t>
    <phoneticPr fontId="8" type="noConversion"/>
  </si>
  <si>
    <t xml:space="preserve">1.页面元素：定位到input标签，ByType必须是用cssSelector表达式
2.data数据：期望的数据（文本值）,格式如下：
 -文本值，百度,表示期望元素返回的文本值
</t>
    <phoneticPr fontId="8" type="noConversion"/>
  </si>
  <si>
    <t xml:space="preserve">一般用于输入框存在只读属性的时候使用，通过javascript获取input输入框的值，并验证其实际值是否等于期望值。
</t>
    <phoneticPr fontId="8" type="noConversion"/>
  </si>
  <si>
    <t>VerifyAlertText</t>
    <phoneticPr fontId="8" type="noConversion"/>
  </si>
  <si>
    <t xml:space="preserve">由于Alert框不存在元素对象，所以需要用这种特殊的方式获取文本值进行验证，验证提示框上的值是否等于期望值
</t>
    <phoneticPr fontId="8" type="noConversion"/>
  </si>
  <si>
    <t>Verify_Text_Equal_WithExcelValue</t>
    <phoneticPr fontId="8" type="noConversion"/>
  </si>
  <si>
    <t xml:space="preserve">用于页面上的值跟本地Excel表里面的值做校验，验证页面元素的文本值跟excel里面的值对比是否相等
</t>
    <phoneticPr fontId="8" type="noConversion"/>
  </si>
  <si>
    <t xml:space="preserve">1.页面元素：不需要传页面元素
2.data数据：期望的数据（文本值）,格式如下：
 -文本值，确定,表示期望返回的文本值
</t>
    <phoneticPr fontId="8" type="noConversion"/>
  </si>
  <si>
    <r>
      <t>1.页面元素：PageObjects表填写的元素对象（id/tagName/class/cssSelector/xpath/linkText/paritalLinkText)</t>
    </r>
    <r>
      <rPr>
        <sz val="11"/>
        <color theme="1"/>
        <rFont val="宋体"/>
        <family val="3"/>
        <charset val="134"/>
        <scheme val="minor"/>
      </rPr>
      <t xml:space="preserve">
</t>
    </r>
    <r>
      <rPr>
        <sz val="11"/>
        <color theme="1"/>
        <rFont val="宋体"/>
        <family val="3"/>
        <charset val="134"/>
        <scheme val="minor"/>
      </rPr>
      <t>2.data</t>
    </r>
    <r>
      <rPr>
        <sz val="11"/>
        <color theme="1"/>
        <rFont val="宋体"/>
        <family val="3"/>
        <charset val="134"/>
        <scheme val="minor"/>
      </rPr>
      <t>数据：期望的数据（文本值）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 xml:space="preserve">格式如下：
</t>
    </r>
    <r>
      <rPr>
        <sz val="11"/>
        <color theme="1"/>
        <rFont val="宋体"/>
        <family val="3"/>
        <charset val="134"/>
        <scheme val="minor"/>
      </rPr>
      <t xml:space="preserve"> -</t>
    </r>
    <r>
      <rPr>
        <sz val="11"/>
        <color theme="1"/>
        <rFont val="宋体"/>
        <family val="3"/>
        <charset val="134"/>
        <scheme val="minor"/>
      </rPr>
      <t>文本值，确定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 xml:space="preserve">表示期望返回的文本值
</t>
    </r>
    <phoneticPr fontId="8" type="noConversion"/>
  </si>
  <si>
    <t xml:space="preserve">1.页面元素：PageObjects表填写的元素对象（id/tagName/class/cssSelector/xpath/linkText/paritalLinkText)
2.data数据：期望的数据（文本值）,格式如下：
 -文本值，确定,表示期望返回的文本值
</t>
    <phoneticPr fontId="8" type="noConversion"/>
  </si>
  <si>
    <r>
      <t>1.页面元素：PageObjects表填写的元素对象（id/tagName/class/cssSelector/xpath/linkText/paritalLinkText)</t>
    </r>
    <r>
      <rPr>
        <sz val="11"/>
        <color theme="1"/>
        <rFont val="宋体"/>
        <family val="3"/>
        <charset val="134"/>
        <scheme val="minor"/>
      </rPr>
      <t xml:space="preserve">
2.data数据：期望的数据,格式以下几种：
 -a</t>
    </r>
    <r>
      <rPr>
        <sz val="11"/>
        <color theme="1"/>
        <rFont val="宋体"/>
        <family val="3"/>
        <charset val="134"/>
        <scheme val="minor"/>
      </rPr>
      <t>) 正则表达式</t>
    </r>
    <r>
      <rPr>
        <sz val="11"/>
        <color theme="1"/>
        <rFont val="宋体"/>
        <family val="3"/>
        <charset val="134"/>
        <scheme val="minor"/>
      </rPr>
      <t>，</t>
    </r>
    <r>
      <rPr>
        <sz val="11"/>
        <color theme="1"/>
        <rFont val="宋体"/>
        <family val="3"/>
        <charset val="134"/>
        <scheme val="minor"/>
      </rPr>
      <t>^[\u4e00-\u9fa5]+$，表示：元素的值必须是汉子（</t>
    </r>
    <r>
      <rPr>
        <sz val="11"/>
        <color theme="1"/>
        <rFont val="宋体"/>
        <family val="3"/>
        <charset val="134"/>
        <scheme val="minor"/>
      </rPr>
      <t>百度）
 -b</t>
    </r>
    <r>
      <rPr>
        <sz val="11"/>
        <color theme="1"/>
        <rFont val="宋体"/>
        <family val="3"/>
        <charset val="134"/>
        <scheme val="minor"/>
      </rPr>
      <t>) 属性 + 分号 + 正则表达式，id;^[a-zA-Z]+$，表示：id的属性值必须是字母</t>
    </r>
    <r>
      <rPr>
        <sz val="11"/>
        <color theme="1"/>
        <rFont val="宋体"/>
        <family val="3"/>
        <charset val="134"/>
        <scheme val="minor"/>
      </rPr>
      <t xml:space="preserve">
</t>
    </r>
    <phoneticPr fontId="8" type="noConversion"/>
  </si>
  <si>
    <t>VerifyList_Sorting</t>
    <phoneticPr fontId="8" type="noConversion"/>
  </si>
  <si>
    <r>
      <t>1.页面元素：PageObjects表填写的元素对象（id/tagName/class/cssSelector/xpath/linkText/paritalLinkText)</t>
    </r>
    <r>
      <rPr>
        <sz val="11"/>
        <color theme="1"/>
        <rFont val="宋体"/>
        <family val="3"/>
        <charset val="134"/>
        <scheme val="minor"/>
      </rPr>
      <t xml:space="preserve">
2.data数据：期望的数据，可以不填，也可以填，
</t>
    </r>
    <r>
      <rPr>
        <sz val="11"/>
        <color theme="1"/>
        <rFont val="宋体"/>
        <family val="3"/>
        <charset val="134"/>
        <scheme val="minor"/>
      </rPr>
      <t xml:space="preserve"> -a) </t>
    </r>
    <r>
      <rPr>
        <sz val="11"/>
        <color theme="1"/>
        <rFont val="宋体"/>
        <family val="3"/>
        <charset val="134"/>
        <scheme val="minor"/>
      </rPr>
      <t>填的话只能是As</t>
    </r>
    <r>
      <rPr>
        <sz val="11"/>
        <color theme="1"/>
        <rFont val="宋体"/>
        <family val="3"/>
        <charset val="134"/>
        <scheme val="minor"/>
      </rPr>
      <t>cending,表示验证集合里面的值是否按升序排列
 -b) 不填，表示验证集合里面的值是否按降序排列</t>
    </r>
    <r>
      <rPr>
        <sz val="11"/>
        <color theme="1"/>
        <rFont val="宋体"/>
        <family val="3"/>
        <charset val="134"/>
        <scheme val="minor"/>
      </rPr>
      <t xml:space="preserve">
</t>
    </r>
    <phoneticPr fontId="8" type="noConversion"/>
  </si>
  <si>
    <t xml:space="preserve">验证集合里面的字符串是否按规定的顺序排列（升序/降序）
</t>
    <phoneticPr fontId="8" type="noConversion"/>
  </si>
  <si>
    <t xml:space="preserve">1.页面元素：变量名称value1
2.data数据：变量名称value2：表示拿变量名称value1的值和变量名称value2的值对比是否相等
</t>
    <phoneticPr fontId="8" type="noConversion"/>
  </si>
  <si>
    <t xml:space="preserve">验证两个变量的值是否相等
</t>
    <phoneticPr fontId="8" type="noConversion"/>
  </si>
  <si>
    <t xml:space="preserve">1.页面元素：不需要传页面元素
2.data数据：等待的时间（毫秒）
</t>
    <phoneticPr fontId="8" type="noConversion"/>
  </si>
  <si>
    <t xml:space="preserve">1.页面元素：不需要传页面元素
2.data数据：填写当前页面的某个窗口标题，如：百度
</t>
    <phoneticPr fontId="8" type="noConversion"/>
  </si>
  <si>
    <t xml:space="preserve">1.页面元素：不需要传页面元素
2.data数据：一个网址，例如：http://www.baidu.com
</t>
    <phoneticPr fontId="8" type="noConversion"/>
  </si>
  <si>
    <t xml:space="preserve">1.页面元素：不需要传页面元素
2.data数据：填写当前页面的某个窗口网址，如：http://www.baidu.com
</t>
    <phoneticPr fontId="8" type="noConversion"/>
  </si>
  <si>
    <t xml:space="preserve">1.页面元素：不需要传页面元素
2.data数据：不需要传值
</t>
    <phoneticPr fontId="8" type="noConversion"/>
  </si>
  <si>
    <t xml:space="preserve">用于切换到当前窗口的上一个窗口；例如：当前页面打开两个或两个以上的窗口时，假设打开的窗口依次是A窗口、B窗口、C窗口，当前页面所在C窗口时，使用此方法，则实现切换到B窗口
</t>
    <phoneticPr fontId="8" type="noConversion"/>
  </si>
  <si>
    <t xml:space="preserve">通过data传进来的窗口标题进行窗口切换；当前页面打开两个或两个以上的窗口时，假设打开的窗口标题依次是A窗口、B窗口、C窗口，当需要实现从A窗口切换到C窗口时，使用此方法，data值填写“C窗口的标题”，则实现切换效果
</t>
    <phoneticPr fontId="8" type="noConversion"/>
  </si>
  <si>
    <t xml:space="preserve">通过data传进来的网址进行窗口切换；例如：当前页面打开两个或两个以上的窗口时，假设打开的窗口依次是A窗口、B窗口、C窗口，当需要实现从A窗口切换到C窗口时，使用此方法，data值填写“C窗口的网址”，则实现切换效果
</t>
    <phoneticPr fontId="8" type="noConversion"/>
  </si>
  <si>
    <t xml:space="preserve">通过data传进来的网址，在当前页面上打开一个新的窗口，并在网页地址栏输入data值，进行访问
</t>
    <phoneticPr fontId="8" type="noConversion"/>
  </si>
  <si>
    <t xml:space="preserve">1.页面元素：不需要传页面元素
2.data数据：填写一个整数，例如：1，表示切换到第1个窗口
</t>
    <phoneticPr fontId="8" type="noConversion"/>
  </si>
  <si>
    <t>SwitchToNumWindow</t>
    <phoneticPr fontId="8" type="noConversion"/>
  </si>
  <si>
    <t xml:space="preserve">通过data传进来的数字进行窗口切换；例如：当前页面打开两个或两个以上的窗口时，假设打开的窗口依次是A窗口、B窗口、C窗口，当需要实现从A窗口切换到C窗口时，使用此方法，data值填写“2”，则实现切换到B窗口效果
</t>
    <phoneticPr fontId="8" type="noConversion"/>
  </si>
  <si>
    <t xml:space="preserve">1.页面元素：不需要传页面元素
2.data数据：不需要传值
</t>
    <phoneticPr fontId="8" type="noConversion"/>
  </si>
  <si>
    <t xml:space="preserve">1.页面元素：不需要传页面元素
2.data数据：不需要传值
</t>
    <phoneticPr fontId="8" type="noConversion"/>
  </si>
  <si>
    <t xml:space="preserve">1.页面元素：确定弹出框里面确定按钮的 xpath定位
2.data数据：不需要传值
</t>
    <phoneticPr fontId="8" type="noConversion"/>
  </si>
  <si>
    <t>1.页面元素：不需要传页面元素
2.data数据：不需要传值</t>
    <phoneticPr fontId="8" type="noConversion"/>
  </si>
  <si>
    <t>CloseBrowserThenOpenBrowser</t>
    <phoneticPr fontId="8" type="noConversion"/>
  </si>
  <si>
    <t xml:space="preserve">关闭所有浏览器窗口然后重新打开一个新的浏览器窗口
</t>
    <phoneticPr fontId="8" type="noConversion"/>
  </si>
  <si>
    <t xml:space="preserve">1.页面元素：PageObjects表填写的元素对象（id/tagName/class/cssSelector/xpath/linkText/paritalLinkText)
2.data数据：一个变量名，用来保存从页面元素上获取的值，例如：testData
</t>
    <phoneticPr fontId="8" type="noConversion"/>
  </si>
  <si>
    <t xml:space="preserve">用于把从页面获取的文本值保存到data传入的变量里面，例如：从页面上获取的值为123，data的值为testData，则实现把123保存到testData里面，后面如果需要用到123这个值时，只需要写testData这个变量名就可以实现
</t>
    <phoneticPr fontId="8" type="noConversion"/>
  </si>
  <si>
    <t>Buffer_Replace</t>
    <phoneticPr fontId="8" type="noConversion"/>
  </si>
  <si>
    <t xml:space="preserve">用于把从页面获取的文本值某一部分保存到data传入的变量里面，例如：从页面上获取的值为“订单号：123”，data的值为“testData;订单号：”，则实现先把“订单号：”去掉，然后把123保存到testData里面，后面如果需要用到123这个值时，只需要写testData这个变量名就可以实现
</t>
    <phoneticPr fontId="8" type="noConversion"/>
  </si>
  <si>
    <r>
      <t>1.页面元素：PageObjects表填写的元素对象（id/tagName/class/cssSelector/xpath/linkText/paritalLinkText)</t>
    </r>
    <r>
      <rPr>
        <sz val="11"/>
        <color theme="1"/>
        <rFont val="宋体"/>
        <family val="3"/>
        <charset val="134"/>
        <scheme val="minor"/>
      </rPr>
      <t xml:space="preserve">
</t>
    </r>
    <r>
      <rPr>
        <sz val="11"/>
        <color theme="1"/>
        <rFont val="宋体"/>
        <family val="3"/>
        <charset val="134"/>
        <scheme val="minor"/>
      </rPr>
      <t>2.data</t>
    </r>
    <r>
      <rPr>
        <sz val="11"/>
        <color theme="1"/>
        <rFont val="宋体"/>
        <family val="3"/>
        <charset val="134"/>
        <scheme val="minor"/>
      </rPr>
      <t>数据：期望的数据（正则表达式）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 xml:space="preserve">格式如下：
</t>
    </r>
    <r>
      <rPr>
        <sz val="11"/>
        <color theme="1"/>
        <rFont val="宋体"/>
        <family val="3"/>
        <charset val="134"/>
        <scheme val="minor"/>
      </rPr>
      <t xml:space="preserve"> -</t>
    </r>
    <r>
      <rPr>
        <sz val="11"/>
        <color theme="1"/>
        <rFont val="宋体"/>
        <family val="3"/>
        <charset val="134"/>
        <scheme val="minor"/>
      </rPr>
      <t>正则表达式，</t>
    </r>
    <r>
      <rPr>
        <sz val="11"/>
        <color theme="1"/>
        <rFont val="宋体"/>
        <family val="3"/>
        <charset val="134"/>
        <scheme val="minor"/>
      </rPr>
      <t>^[\u4e00-\u9fa5]+$</t>
    </r>
    <r>
      <rPr>
        <sz val="11"/>
        <color theme="1"/>
        <rFont val="宋体"/>
        <family val="3"/>
        <charset val="134"/>
        <scheme val="minor"/>
      </rPr>
      <t xml:space="preserve">，表示：元素的值必须是汉子（百度）
</t>
    </r>
    <phoneticPr fontId="8" type="noConversion"/>
  </si>
  <si>
    <t>BufferInputValue</t>
    <phoneticPr fontId="8" type="noConversion"/>
  </si>
  <si>
    <t xml:space="preserve">1.页面元素：PageObjects表填写的元素对象（id/tagName/class/cssSelector/xpath/linkText/paritalLinkText)
2.data数据：变量名 + 分号 + 需要去掉的值，用来保存处理后的页面元素文本值，例如：testDat;订单号：
</t>
    <phoneticPr fontId="8" type="noConversion"/>
  </si>
  <si>
    <t xml:space="preserve">用于把从页面获取的文本值符合正则表达式的部分保存到data传入的变量里面，例如：从页面上获取的值为“订单号123”，data的值为“testData;^[\u4e00-\u9fa5]+$”，则实现先把“订单号”去掉，然后把123保存到testData里面，后面如果需要用到123这个值时，只需要写testData这个变量名就可以实现
</t>
    <phoneticPr fontId="8" type="noConversion"/>
  </si>
  <si>
    <t xml:space="preserve">1.页面元素：定位到input标签，ByType必须是用cssSelector表达式
2.data数据：一个变量名，用来保存从页面元素上获取的值，例如：testData
</t>
    <phoneticPr fontId="8" type="noConversion"/>
  </si>
  <si>
    <t xml:space="preserve">用于元素存在只读属性时，使用此方法，通过javascript获取input输入框的值，并保存其实际值到一个指定变量名里
</t>
    <phoneticPr fontId="8" type="noConversion"/>
  </si>
  <si>
    <t>ScrollLeft</t>
    <phoneticPr fontId="8" type="noConversion"/>
  </si>
  <si>
    <r>
      <t>1.页面元素： 滚动条所在的表格或者框架（div等),</t>
    </r>
    <r>
      <rPr>
        <sz val="11"/>
        <color rgb="FFFF0000"/>
        <rFont val="宋体"/>
        <family val="3"/>
        <charset val="134"/>
        <scheme val="minor"/>
      </rPr>
      <t>PageObjects中的ByType必须是cssSelector</t>
    </r>
    <r>
      <rPr>
        <sz val="11"/>
        <color theme="1"/>
        <rFont val="宋体"/>
        <family val="3"/>
        <charset val="134"/>
        <scheme val="minor"/>
      </rPr>
      <t xml:space="preserve">。
2.data数据：正整数 （拖动的像素px值），例如：100
</t>
    </r>
    <phoneticPr fontId="8" type="noConversion"/>
  </si>
  <si>
    <t xml:space="preserve">用于水平拖动滚动条，当需要滚动页面某一个表格或者框架的水平滚动条时使用。
</t>
    <phoneticPr fontId="8" type="noConversion"/>
  </si>
  <si>
    <r>
      <t>1.页面元素： 滚动条所在的表格或者框架（div等),</t>
    </r>
    <r>
      <rPr>
        <sz val="11"/>
        <color rgb="FFFF0000"/>
        <rFont val="宋体"/>
        <family val="3"/>
        <charset val="134"/>
        <scheme val="minor"/>
      </rPr>
      <t>PageObjects中的ByType必须是cssSelector</t>
    </r>
    <r>
      <rPr>
        <sz val="11"/>
        <color theme="1"/>
        <rFont val="宋体"/>
        <family val="3"/>
        <charset val="134"/>
        <scheme val="minor"/>
      </rPr>
      <t xml:space="preserve">。
2.data数据：正整数 （拖动的像素px值），例如：100
</t>
    </r>
    <phoneticPr fontId="8" type="noConversion"/>
  </si>
  <si>
    <t xml:space="preserve">用于垂直拖动滚动条，当需要滚动页面某一个表格或者框架的垂直滚动条时使用。
</t>
    <phoneticPr fontId="8" type="noConversion"/>
  </si>
  <si>
    <t xml:space="preserve">1.页面元素： PageObjects表填写的元素对象（id/tagName/class/cssSelector/xpath/linkText/paritalLinkText)
2.data数据：不需要填值
</t>
    <phoneticPr fontId="8" type="noConversion"/>
  </si>
  <si>
    <t xml:space="preserve">用于把元素拖动到当前页面窗口可见的地方，当元素不在可见页面窗口时，可以用该方法拖动到页面可以看到改元素的位置。
</t>
    <phoneticPr fontId="8" type="noConversion"/>
  </si>
  <si>
    <t xml:space="preserve">1.页面元素： 不需要填页面对象
2.data数据：正整数 （拖动的像素px值），例如：100
</t>
    <phoneticPr fontId="8" type="noConversion"/>
  </si>
  <si>
    <t xml:space="preserve">1.页面元素： 不需要填页面对象
2.data数据：正整数 （拖动的像素px值），例如：100
</t>
    <phoneticPr fontId="8" type="noConversion"/>
  </si>
  <si>
    <t xml:space="preserve">用于浏览器窗口的水平滚动条，左右拖动。
</t>
    <phoneticPr fontId="8" type="noConversion"/>
  </si>
  <si>
    <t xml:space="preserve">用于浏览器窗口的垂直滚动条，上下拖动。
</t>
    <phoneticPr fontId="8" type="noConversion"/>
  </si>
  <si>
    <t xml:space="preserve">1.页面元素： 需要填写元素A和元素B的对象，两个对象之间用分号隔开；例如：username;password
2.data数据：不需要填值
</t>
    <phoneticPr fontId="8" type="noConversion"/>
  </si>
  <si>
    <t xml:space="preserve">用于将某个页面元素，从当前位置拖动到另一个元素位置，例如：将元素A拖动到元素B的位置
</t>
    <phoneticPr fontId="8" type="noConversion"/>
  </si>
  <si>
    <t xml:space="preserve">1.页面元素：不需要填写页面元素
2.data数据：需要上传的文件名（文件必须放在TestData\uploadFile）
</t>
    <phoneticPr fontId="8" type="noConversion"/>
  </si>
  <si>
    <t xml:space="preserve">1.页面元素：定位到导出文件的按钮（就是一点击这个按钮，系统并会自动导出这个文件）
2.data数据：系统导出的文件名（需要加上后缀名），如：test.xlsx
</t>
    <phoneticPr fontId="8" type="noConversion"/>
  </si>
  <si>
    <t xml:space="preserve">1.页面元素：定位到浏览按钮（可以打开选择文件那个按钮）
2.data数据：需要上传的文件名（文件必须放在TestData\uploadFile），如：test.xlsx
</t>
    <phoneticPr fontId="8" type="noConversion"/>
  </si>
  <si>
    <r>
      <t>1.页面元素：不需要填写页面元素</t>
    </r>
    <r>
      <rPr>
        <sz val="11"/>
        <color theme="1"/>
        <rFont val="宋体"/>
        <family val="3"/>
        <charset val="134"/>
        <scheme val="minor"/>
      </rPr>
      <t xml:space="preserve">
2.data数据：不需要填值
</t>
    </r>
    <phoneticPr fontId="8" type="noConversion"/>
  </si>
  <si>
    <t xml:space="preserve">用于判断alert提示框是否出现，如果出现则点击确定按钮去关闭alert
</t>
    <phoneticPr fontId="8" type="noConversion"/>
  </si>
  <si>
    <t xml:space="preserve">用于点击alert提示框的确定按钮，如果出现则点击确定按钮去关闭alert
</t>
    <phoneticPr fontId="8" type="noConversion"/>
  </si>
  <si>
    <t xml:space="preserve">用于点击alert提示框的确定按钮，如果出现则点击取消按钮去关闭alert
</t>
    <phoneticPr fontId="8" type="noConversion"/>
  </si>
  <si>
    <t xml:space="preserve">1.页面元素： 定位到input标签
2.data数据：该输入的值可以是：一个日期（20180102）、一个数字代表多少天（20或-20）、特定值（today、nextMonth、lastMonth、yesterday、tomorrow、nextWeek、lastWeek、nextYear、last year）
注意：data值既可以只传时间，也可以传时间+时间格式；
 -a) 当只传时间时，默认时间格式为yyyyMMdd，例如：20180102或者特定值里面的一个today
 -b) 当传时间+格式时，中间需要用分号隔开，例如：20180102;yyyy-MM-dd或者特定值里面的一个today;yyyy-MM-dd
</t>
    <phoneticPr fontId="8" type="noConversion"/>
  </si>
  <si>
    <t xml:space="preserve">1.页面元素：PageObjects表填写的元素对象（id/tagName/class/cssSelector/xpath/linkText/paritalLinkText)
2.data数据：变量名 + 分号 + 正则表达式，用来保存处理后的页面元素文本值，例如：testData;^[\u4e00-\u9fa5]+$
</t>
    <phoneticPr fontId="8" type="noConversion"/>
  </si>
  <si>
    <r>
      <t>1.页面元素：PageObjects表填写的元素对象（id/tagName/class/cssSelector/xpath/linkText/paritalLinkText)</t>
    </r>
    <r>
      <rPr>
        <sz val="11"/>
        <color theme="1"/>
        <rFont val="宋体"/>
        <family val="3"/>
        <charset val="134"/>
        <scheme val="minor"/>
      </rPr>
      <t xml:space="preserve">
2.data数据：不需要填值
</t>
    </r>
    <phoneticPr fontId="8" type="noConversion"/>
  </si>
  <si>
    <t xml:space="preserve">用于当前元素在页面上存在多个时，逐个点击每一个元素
</t>
    <phoneticPr fontId="8" type="noConversion"/>
  </si>
  <si>
    <t>ClickIfContains</t>
    <phoneticPr fontId="8" type="noConversion"/>
  </si>
  <si>
    <t xml:space="preserve">1.页面元素：PageObjects表填写的元素对象（id/tagName/class/cssSelector/xpath/linkText/paritalLinkText)
2.data数据：元素需要包含的文本值
</t>
    <phoneticPr fontId="8" type="noConversion"/>
  </si>
  <si>
    <t xml:space="preserve">用于点击包含data传入的文本值的元素
</t>
    <phoneticPr fontId="8" type="noConversion"/>
  </si>
  <si>
    <t xml:space="preserve">用于多选select下拉框，可以通过文本值和数字选择
</t>
    <phoneticPr fontId="8" type="noConversion"/>
  </si>
  <si>
    <t xml:space="preserve">用于select下拉框默认多选后的反选项
</t>
    <phoneticPr fontId="8" type="noConversion"/>
  </si>
  <si>
    <t xml:space="preserve">1.页面元素：定位到select标签
2.data数据：不需要填值
</t>
    <phoneticPr fontId="8" type="noConversion"/>
  </si>
  <si>
    <t xml:space="preserve">1.页面元素：定位到input标签
2.data数据：填写一个数字，表示：需要按键盘向下方向键的次数，例如：2
</t>
    <phoneticPr fontId="8" type="noConversion"/>
  </si>
  <si>
    <t xml:space="preserve">通过点击输入框，然后模拟键盘点击向下方向键，data输入的值是多少，则键盘向下键就按多少次
</t>
    <phoneticPr fontId="8" type="noConversion"/>
  </si>
  <si>
    <t xml:space="preserve">1.页面元素：不需要填页面元素
2.data数据：连接信息在config excel表里面填
</t>
    <phoneticPr fontId="8" type="noConversion"/>
  </si>
  <si>
    <t xml:space="preserve">1.页面元素：不需要填页面元素
2.data数据：不需要填值
</t>
    <phoneticPr fontId="8" type="noConversion"/>
  </si>
  <si>
    <t xml:space="preserve">1.页面元素：不需要填页面元素
2.data数据：sql语句，例如：select * form A where id
</t>
    <phoneticPr fontId="8" type="noConversion"/>
  </si>
  <si>
    <t xml:space="preserve">1.页面元素：不需要填页面元素
2.data数据：sql语句，例如：update A set id = '123' where name = '456'
</t>
    <phoneticPr fontId="8" type="noConversion"/>
  </si>
  <si>
    <t xml:space="preserve">1.页面元素：不需要填页面元素
2.data数据：sql文件名，文件里一堆sql语句，例如：selectForCount.sql
</t>
    <phoneticPr fontId="8" type="noConversion"/>
  </si>
  <si>
    <t>计数</t>
    <phoneticPr fontId="8" type="noConversion"/>
  </si>
  <si>
    <t>第1套数据</t>
    <phoneticPr fontId="8" type="noConversion"/>
  </si>
  <si>
    <t>第2套数据</t>
  </si>
  <si>
    <t>第3套数据</t>
  </si>
  <si>
    <t>第4套数据</t>
  </si>
  <si>
    <t>第5套数据</t>
  </si>
  <si>
    <t>第6套数据</t>
  </si>
  <si>
    <t>第7套数据</t>
  </si>
  <si>
    <t>第8套数据</t>
  </si>
  <si>
    <t>第9套数据</t>
  </si>
  <si>
    <t>第10套数据</t>
  </si>
  <si>
    <t>第11套数据</t>
  </si>
  <si>
    <t>第12套数据</t>
  </si>
  <si>
    <t>第13套数据</t>
  </si>
  <si>
    <t>第14套数据</t>
  </si>
  <si>
    <t>第15套数据</t>
  </si>
  <si>
    <t>第16套数据</t>
  </si>
  <si>
    <t>第17套数据</t>
  </si>
  <si>
    <t>第18套数据</t>
  </si>
  <si>
    <t>第19套数据</t>
  </si>
  <si>
    <t>第20套数据</t>
  </si>
  <si>
    <t>waitForObjectAppear</t>
    <phoneticPr fontId="8" type="noConversion"/>
  </si>
  <si>
    <t>无</t>
  </si>
  <si>
    <t>Verify_Text_Equal</t>
    <phoneticPr fontId="8" type="noConversion"/>
  </si>
  <si>
    <t>VerifyElementExistence</t>
    <phoneticPr fontId="8" type="noConversion"/>
  </si>
  <si>
    <t>Verify_Text_NotEqual</t>
    <phoneticPr fontId="8" type="noConversion"/>
  </si>
  <si>
    <t>Verify_Contain</t>
    <phoneticPr fontId="8" type="noConversion"/>
  </si>
  <si>
    <t>KeyboardOperation</t>
    <phoneticPr fontId="8" type="noConversion"/>
  </si>
  <si>
    <t>注意：生成用例和生成场景之前先导入场景</t>
    <phoneticPr fontId="8" type="noConversion"/>
  </si>
  <si>
    <t>末行号</t>
    <phoneticPr fontId="8" type="noConversion"/>
  </si>
  <si>
    <t>序号</t>
    <phoneticPr fontId="8" type="noConversion"/>
  </si>
  <si>
    <t>场景</t>
    <phoneticPr fontId="8" type="noConversion"/>
  </si>
  <si>
    <t>备注</t>
    <phoneticPr fontId="8" type="noConversion"/>
  </si>
  <si>
    <r>
      <t>对应到P</t>
    </r>
    <r>
      <rPr>
        <b/>
        <sz val="11"/>
        <color theme="1"/>
        <rFont val="宋体"/>
        <family val="3"/>
        <charset val="134"/>
        <scheme val="minor"/>
      </rPr>
      <t>OM.XML里的场景写法</t>
    </r>
    <phoneticPr fontId="8" type="noConversion"/>
  </si>
  <si>
    <t>需要指定测试的浏览器时</t>
    <phoneticPr fontId="8" type="noConversion"/>
  </si>
  <si>
    <t>End</t>
  </si>
  <si>
    <t xml:space="preserve">鼠标操作，例如
 -a) LeftClick表示：左键单击
 -b) RightClick表示：右键单击
 -c) DoubleClick表示：双击
 -d) MoveToElement表示：光标移动指定页面元素
 -e) MoveByOffset表示：光标当前位置或者（0,0）为中心开始移动到data传入进来的（x,y）值的位置,可以理解为鼠标在页面上光标的移动
 -f) DragAndDrop表示：把某个元素从当前位置移动到data传入进来的（x,y）位置,这里有两个动作，先是按住元素，再进行拖动
</t>
    <phoneticPr fontId="8" type="noConversion"/>
  </si>
  <si>
    <t>Login</t>
    <phoneticPr fontId="8" type="noConversion"/>
  </si>
  <si>
    <t>登陆</t>
    <phoneticPr fontId="8" type="noConversion"/>
  </si>
  <si>
    <t>打开网址</t>
    <phoneticPr fontId="8" type="noConversion"/>
  </si>
  <si>
    <t>OpenURL</t>
    <phoneticPr fontId="8" type="noConversion"/>
  </si>
  <si>
    <t>输入账号</t>
    <phoneticPr fontId="8" type="noConversion"/>
  </si>
  <si>
    <t>login</t>
    <phoneticPr fontId="8" type="noConversion"/>
  </si>
  <si>
    <t>账号输入框</t>
    <phoneticPr fontId="8" type="noConversion"/>
  </si>
  <si>
    <t>login</t>
    <phoneticPr fontId="8" type="noConversion"/>
  </si>
  <si>
    <t>密码输入框</t>
    <phoneticPr fontId="8" type="noConversion"/>
  </si>
  <si>
    <t>cssSelector</t>
  </si>
  <si>
    <t>登录按钮</t>
    <phoneticPr fontId="8" type="noConversion"/>
  </si>
  <si>
    <t>输入密码</t>
    <phoneticPr fontId="8" type="noConversion"/>
  </si>
  <si>
    <t>点击登录按钮</t>
    <phoneticPr fontId="8" type="noConversion"/>
  </si>
  <si>
    <r>
      <t>R</t>
    </r>
    <r>
      <rPr>
        <sz val="11"/>
        <color theme="1"/>
        <rFont val="宋体"/>
        <family val="3"/>
        <charset val="134"/>
        <scheme val="minor"/>
      </rPr>
      <t>DM</t>
    </r>
    <phoneticPr fontId="8" type="noConversion"/>
  </si>
  <si>
    <t xml:space="preserve">1.页面元素：不需要填页面元素
2.data数据：sql文件名，文件里是一个select查询块，例如：selectForCount.sql
</t>
    <phoneticPr fontId="8" type="noConversion"/>
  </si>
  <si>
    <t>http://ittmp.midea.com</t>
    <phoneticPr fontId="8" type="noConversion"/>
  </si>
  <si>
    <t>wangyu11</t>
    <phoneticPr fontId="8" type="noConversion"/>
  </si>
  <si>
    <t>huijun,002433</t>
    <phoneticPr fontId="8" type="noConversion"/>
  </si>
  <si>
    <t>回到主页</t>
    <phoneticPr fontId="8" type="noConversion"/>
  </si>
  <si>
    <t>点击确定</t>
    <phoneticPr fontId="8" type="noConversion"/>
  </si>
  <si>
    <t>menu</t>
    <phoneticPr fontId="8" type="noConversion"/>
  </si>
  <si>
    <t>.login .el-button--primary</t>
    <phoneticPr fontId="8" type="noConversion"/>
  </si>
  <si>
    <t>产品管理_新建产品</t>
    <phoneticPr fontId="8" type="noConversion"/>
  </si>
  <si>
    <t>点击需求管理</t>
    <phoneticPr fontId="8" type="noConversion"/>
  </si>
  <si>
    <t>MoveToElement</t>
  </si>
  <si>
    <t>MoveToElement</t>
    <phoneticPr fontId="8" type="noConversion"/>
  </si>
  <si>
    <t xml:space="preserve">1.页面元素：PageObjects表填写的元素对象（id/tagName/class/cssSelector/xpath/linkText/paritalLinkText) 
2.data数据：不需要填写数据
</t>
    <phoneticPr fontId="8" type="noConversion"/>
  </si>
  <si>
    <t>鼠标移到指定元素</t>
    <phoneticPr fontId="8" type="noConversion"/>
  </si>
  <si>
    <t>点击需求池</t>
    <phoneticPr fontId="8" type="noConversion"/>
  </si>
  <si>
    <t>需求管理</t>
    <phoneticPr fontId="8" type="noConversion"/>
  </si>
  <si>
    <t>需求管理_需求池</t>
    <phoneticPr fontId="8" type="noConversion"/>
  </si>
  <si>
    <t>组织切换</t>
    <phoneticPr fontId="8" type="noConversion"/>
  </si>
  <si>
    <t>.header-user__content</t>
    <phoneticPr fontId="8" type="noConversion"/>
  </si>
  <si>
    <t>管理员</t>
    <phoneticPr fontId="8" type="noConversion"/>
  </si>
  <si>
    <t>点击管理员</t>
    <phoneticPr fontId="8" type="noConversion"/>
  </si>
  <si>
    <t>模拟登录</t>
    <phoneticPr fontId="8" type="noConversion"/>
  </si>
  <si>
    <t>点击模拟登录</t>
    <phoneticPr fontId="8" type="noConversion"/>
  </si>
  <si>
    <t>输入搜索人员</t>
    <phoneticPr fontId="8" type="noConversion"/>
  </si>
  <si>
    <t>模拟登录_搜索人员</t>
    <phoneticPr fontId="8" type="noConversion"/>
  </si>
  <si>
    <t>回车</t>
    <phoneticPr fontId="8" type="noConversion"/>
  </si>
  <si>
    <t>Enter</t>
    <phoneticPr fontId="8" type="noConversion"/>
  </si>
  <si>
    <t>模拟登录_选中人员</t>
    <phoneticPr fontId="8" type="noConversion"/>
  </si>
  <si>
    <t>确定</t>
    <phoneticPr fontId="8" type="noConversion"/>
  </si>
  <si>
    <t>demandList</t>
    <phoneticPr fontId="8" type="noConversion"/>
  </si>
  <si>
    <t>新建需求按钮</t>
    <phoneticPr fontId="8" type="noConversion"/>
  </si>
  <si>
    <t>.demandPool-btn .el-button--primary</t>
    <phoneticPr fontId="8" type="noConversion"/>
  </si>
  <si>
    <t>标题输入</t>
    <phoneticPr fontId="8" type="noConversion"/>
  </si>
  <si>
    <t>所属产品选择</t>
    <phoneticPr fontId="8" type="noConversion"/>
  </si>
  <si>
    <t>所属模块选择</t>
    <phoneticPr fontId="8" type="noConversion"/>
  </si>
  <si>
    <t>紧急程度选择</t>
    <phoneticPr fontId="8" type="noConversion"/>
  </si>
  <si>
    <t>点击新建需求按钮</t>
    <phoneticPr fontId="8" type="noConversion"/>
  </si>
  <si>
    <t>addProduction</t>
    <phoneticPr fontId="8" type="noConversion"/>
  </si>
  <si>
    <t>需求相关方文本</t>
    <phoneticPr fontId="8" type="noConversion"/>
  </si>
  <si>
    <t>校验需求相关方</t>
    <phoneticPr fontId="8" type="noConversion"/>
  </si>
  <si>
    <t>切换iframe</t>
    <phoneticPr fontId="8" type="noConversion"/>
  </si>
  <si>
    <t>#tinymce</t>
    <phoneticPr fontId="8" type="noConversion"/>
  </si>
  <si>
    <t>需求描述</t>
    <phoneticPr fontId="8" type="noConversion"/>
  </si>
  <si>
    <t>需求描述输入</t>
    <phoneticPr fontId="8" type="noConversion"/>
  </si>
  <si>
    <t>div.processConfig__node-wrap</t>
    <phoneticPr fontId="8" type="noConversion"/>
  </si>
  <si>
    <t>Verify_AnyContain</t>
  </si>
  <si>
    <t>Verify_AnyContain</t>
    <phoneticPr fontId="8" type="noConversion"/>
  </si>
  <si>
    <t xml:space="preserve">1.页面元素：PageObjects表填写的元素对象（id/tagName/class/cssSelector/xpath/linkText/paritalLinkText)
2.data数据：期望的数据（文本值）,格式如下：
 -文本值（有多个用；隔开），表示期望返回的文本值
</t>
    <phoneticPr fontId="8" type="noConversion"/>
  </si>
  <si>
    <t xml:space="preserve">验证元素的文本值是否包含data传入的值；例如：百度1；百度2
</t>
    <phoneticPr fontId="8" type="noConversion"/>
  </si>
  <si>
    <t>KeyboardOperation</t>
    <phoneticPr fontId="8" type="noConversion"/>
  </si>
  <si>
    <t>Enter</t>
    <phoneticPr fontId="8" type="noConversion"/>
  </si>
  <si>
    <t>chimy1</t>
    <phoneticPr fontId="8" type="noConversion"/>
  </si>
  <si>
    <t>选中人员</t>
    <phoneticPr fontId="8" type="noConversion"/>
  </si>
  <si>
    <t>产品管理</t>
    <phoneticPr fontId="8" type="noConversion"/>
  </si>
  <si>
    <t>产品管理_产品新建</t>
    <phoneticPr fontId="8" type="noConversion"/>
  </si>
  <si>
    <t>点击产品管理</t>
    <phoneticPr fontId="8" type="noConversion"/>
  </si>
  <si>
    <t>点击新建产品</t>
    <phoneticPr fontId="8" type="noConversion"/>
  </si>
  <si>
    <t>新增产品按钮</t>
    <phoneticPr fontId="8" type="noConversion"/>
  </si>
  <si>
    <t>新增产品_产品名称输入框</t>
  </si>
  <si>
    <t>新增产品_产品负责人输入框</t>
    <phoneticPr fontId="8" type="noConversion"/>
  </si>
  <si>
    <t>新增产品_产品类型输入框</t>
    <phoneticPr fontId="8" type="noConversion"/>
  </si>
  <si>
    <t>#create_FLD_S_00006 .el-input__inner</t>
    <phoneticPr fontId="8" type="noConversion"/>
  </si>
  <si>
    <t>点击新建</t>
    <phoneticPr fontId="8" type="noConversion"/>
  </si>
  <si>
    <t>输入产品名称</t>
    <phoneticPr fontId="8" type="noConversion"/>
  </si>
  <si>
    <t>输入产品负责人</t>
    <phoneticPr fontId="8" type="noConversion"/>
  </si>
  <si>
    <t>输入产品类型</t>
    <phoneticPr fontId="8" type="noConversion"/>
  </si>
  <si>
    <t>#create_REMARK .el-textarea__inner</t>
    <phoneticPr fontId="8" type="noConversion"/>
  </si>
  <si>
    <t>新增产品_描述输入框</t>
    <phoneticPr fontId="8" type="noConversion"/>
  </si>
  <si>
    <t>新增产品_领域名称输入框</t>
    <phoneticPr fontId="8" type="noConversion"/>
  </si>
  <si>
    <t>新增产品_领域负责人输入框</t>
    <phoneticPr fontId="8" type="noConversion"/>
  </si>
  <si>
    <t>新增产品_领域成员输入框</t>
    <phoneticPr fontId="8" type="noConversion"/>
  </si>
  <si>
    <t>新增产品_领域信息保存</t>
    <phoneticPr fontId="8" type="noConversion"/>
  </si>
  <si>
    <t>新增产品_产品模块新增</t>
    <phoneticPr fontId="8" type="noConversion"/>
  </si>
  <si>
    <t>//*[text()='产品模块信息']/following::button</t>
    <phoneticPr fontId="8" type="noConversion"/>
  </si>
  <si>
    <t>新增产品_模块名称输入框</t>
    <phoneticPr fontId="8" type="noConversion"/>
  </si>
  <si>
    <t>新增产品_模块负责人输入框</t>
    <phoneticPr fontId="8" type="noConversion"/>
  </si>
  <si>
    <t>新增产品_模块说明输入框</t>
    <phoneticPr fontId="8" type="noConversion"/>
  </si>
  <si>
    <t>新增产品_产品模块信息保存</t>
    <phoneticPr fontId="8" type="noConversion"/>
  </si>
  <si>
    <t>新增产品_设置属性下一步</t>
    <phoneticPr fontId="8" type="noConversion"/>
  </si>
  <si>
    <t>领域信息保存</t>
  </si>
  <si>
    <t>产品模块新增</t>
  </si>
  <si>
    <t>产品模块信息保存</t>
  </si>
  <si>
    <t>点击下一步</t>
    <phoneticPr fontId="8" type="noConversion"/>
  </si>
  <si>
    <t>描述输入</t>
  </si>
  <si>
    <t>领域名称输入</t>
  </si>
  <si>
    <t>领域负责人输入</t>
  </si>
  <si>
    <t>领域成员输入</t>
  </si>
  <si>
    <t>模块名称输入</t>
  </si>
  <si>
    <t>模块负责人输入</t>
  </si>
  <si>
    <t>模块说明输入</t>
  </si>
  <si>
    <t>选中产品负责人</t>
    <phoneticPr fontId="8" type="noConversion"/>
  </si>
  <si>
    <t>选中领域负责人</t>
    <phoneticPr fontId="8" type="noConversion"/>
  </si>
  <si>
    <t>选中领域成员</t>
    <phoneticPr fontId="8" type="noConversion"/>
  </si>
  <si>
    <t>选中模块负责人</t>
    <phoneticPr fontId="8" type="noConversion"/>
  </si>
  <si>
    <t>新增产品_选中</t>
    <phoneticPr fontId="8" type="noConversion"/>
  </si>
  <si>
    <t>重金属</t>
    <phoneticPr fontId="8" type="noConversion"/>
  </si>
  <si>
    <t>kongjx</t>
    <phoneticPr fontId="8" type="noConversion"/>
  </si>
  <si>
    <t>admin</t>
    <phoneticPr fontId="8" type="noConversion"/>
  </si>
  <si>
    <t>[gppm-ui=flowList__create]</t>
    <phoneticPr fontId="8" type="noConversion"/>
  </si>
  <si>
    <t>[gppm-ui=createFlow__button__C]</t>
    <phoneticPr fontId="8" type="noConversion"/>
  </si>
  <si>
    <t>li [title=产品新建]</t>
    <phoneticPr fontId="8" type="noConversion"/>
  </si>
  <si>
    <t>[gppm-ui=switch-account]&gt;.user-options</t>
    <phoneticPr fontId="8" type="noConversion"/>
  </si>
  <si>
    <t>[gppm-ui=simulation--login]&gt;.user-options</t>
    <phoneticPr fontId="8" type="noConversion"/>
  </si>
  <si>
    <t>[placeholder=请输入密码]</t>
    <phoneticPr fontId="8" type="noConversion"/>
  </si>
  <si>
    <t>[placeholder=请输入用户名]</t>
    <phoneticPr fontId="8" type="noConversion"/>
  </si>
  <si>
    <t>[placeholder=请输入搜索人员]</t>
    <phoneticPr fontId="8" type="noConversion"/>
  </si>
  <si>
    <t>[gppm-ui=selectUser__ok]</t>
  </si>
  <si>
    <t>addDemand</t>
    <phoneticPr fontId="8" type="noConversion"/>
  </si>
  <si>
    <t>addDemandNotSelectMoudle</t>
    <phoneticPr fontId="8" type="noConversion"/>
  </si>
  <si>
    <t>[aria-label=选择用户] .el-table__body label</t>
    <phoneticPr fontId="8" type="noConversion"/>
  </si>
  <si>
    <t>.svg-icon--app</t>
    <phoneticPr fontId="8" type="noConversion"/>
  </si>
  <si>
    <t>.svg-icon--document-filled</t>
    <phoneticPr fontId="8" type="noConversion"/>
  </si>
  <si>
    <t>[prop='viewData.0.value.NAME']</t>
    <phoneticPr fontId="8" type="noConversion"/>
  </si>
  <si>
    <t>//*[text()='产品负责人']/../descendant::*[@class='user-picker__input']</t>
    <phoneticPr fontId="8" type="noConversion"/>
  </si>
  <si>
    <t>新增产品_产品负责人选中</t>
    <phoneticPr fontId="8" type="noConversion"/>
  </si>
  <si>
    <t>//*[contains(@title,'_IoT_')]</t>
    <phoneticPr fontId="8" type="noConversion"/>
  </si>
  <si>
    <t>新增产品_产品类型选择1</t>
    <phoneticPr fontId="8" type="noConversion"/>
  </si>
  <si>
    <t>新增产品_产品类型选择2</t>
  </si>
  <si>
    <t>新增产品_产品类型选择3</t>
  </si>
  <si>
    <t>//*[text()='测试账套']</t>
    <phoneticPr fontId="8" type="noConversion"/>
  </si>
  <si>
    <t>//*[text()='美居产品']</t>
    <phoneticPr fontId="8" type="noConversion"/>
  </si>
  <si>
    <t>//*[text()='国际美居']</t>
    <phoneticPr fontId="8" type="noConversion"/>
  </si>
  <si>
    <t>MoveToElement</t>
    <phoneticPr fontId="8" type="noConversion"/>
  </si>
  <si>
    <t>[x-placement][role] li:first-child</t>
    <phoneticPr fontId="8" type="noConversion"/>
  </si>
  <si>
    <t>(//*[text()='领域信息']/../descendant::input)[1]</t>
    <phoneticPr fontId="8" type="noConversion"/>
  </si>
  <si>
    <t>(//*[text()='产品模块信息']/../descendant::input)[1]</t>
    <phoneticPr fontId="8" type="noConversion"/>
  </si>
  <si>
    <t>(//*[text()='产品模块信息']/../descendant::textarea)</t>
    <phoneticPr fontId="8" type="noConversion"/>
  </si>
  <si>
    <t>输入审批人</t>
    <phoneticPr fontId="8" type="noConversion"/>
  </si>
  <si>
    <t>输入会签人</t>
    <phoneticPr fontId="8" type="noConversion"/>
  </si>
  <si>
    <t>点击提交</t>
    <phoneticPr fontId="8" type="noConversion"/>
  </si>
  <si>
    <t>新增产品_输入会签人</t>
    <phoneticPr fontId="8" type="noConversion"/>
  </si>
  <si>
    <t>新增产品_输入审批人</t>
    <phoneticPr fontId="8" type="noConversion"/>
  </si>
  <si>
    <t>//*[text()=' 会签 ']/../descendant::input[@class='user-picker__input']</t>
    <phoneticPr fontId="8" type="noConversion"/>
  </si>
  <si>
    <t>//*[text()=' 提交 ']</t>
    <phoneticPr fontId="8" type="noConversion"/>
  </si>
  <si>
    <t>新增产品_提交</t>
    <phoneticPr fontId="8" type="noConversion"/>
  </si>
  <si>
    <t>kongjx</t>
    <phoneticPr fontId="8" type="noConversion"/>
  </si>
  <si>
    <t>xuyi16</t>
    <phoneticPr fontId="8" type="noConversion"/>
  </si>
  <si>
    <t>//*[@class='el-message-box__btns']/descendant::*[contains(text(),'确定')]</t>
    <phoneticPr fontId="8" type="noConversion"/>
  </si>
  <si>
    <t>点击确定</t>
    <phoneticPr fontId="8" type="noConversion"/>
  </si>
  <si>
    <t>新增产品_校验</t>
    <phoneticPr fontId="8" type="noConversion"/>
  </si>
  <si>
    <t>tbody</t>
    <phoneticPr fontId="8" type="noConversion"/>
  </si>
  <si>
    <t>校验</t>
    <phoneticPr fontId="8" type="noConversion"/>
  </si>
  <si>
    <t>proName</t>
    <phoneticPr fontId="8" type="noConversion"/>
  </si>
  <si>
    <t>设置产品名称变量</t>
    <phoneticPr fontId="8" type="noConversion"/>
  </si>
  <si>
    <t>{{proName}}</t>
    <phoneticPr fontId="8" type="noConversion"/>
  </si>
  <si>
    <t>BufferInputValue</t>
    <phoneticPr fontId="8" type="noConversion"/>
  </si>
  <si>
    <t>//*[text()='领域信息']/following::td[not(contains(@class,'is-hidden'))]//*[text()='保存']</t>
    <phoneticPr fontId="8" type="noConversion"/>
  </si>
  <si>
    <t>//*[text()='产品模块信息']/following::td[not(contains(@class,'is-hidden'))]//*[text()='保存']</t>
    <phoneticPr fontId="8" type="noConversion"/>
  </si>
  <si>
    <t>//*[text()='产品模块信息']/following::td[not(contains(@class,'is-hidden'))]//input[@class='user-picker__input']</t>
    <phoneticPr fontId="8" type="noConversion"/>
  </si>
  <si>
    <t>//*[text()='领域信息']/following::td[not(contains(@class,'is-hidden'))][2]//input[@class='user-picker__input']</t>
    <phoneticPr fontId="8" type="noConversion"/>
  </si>
  <si>
    <t>//*[text()='领域信息']/following::td[not(contains(@class,'is-hidden'))][3]//input[@class='user-picker__input']</t>
    <phoneticPr fontId="8" type="noConversion"/>
  </si>
  <si>
    <t>//*[text()=' 审批 ']/../descendant::input[@class='user-picker__input']</t>
    <phoneticPr fontId="8" type="noConversion"/>
  </si>
  <si>
    <t>产品管理_产品审核</t>
    <phoneticPr fontId="8" type="noConversion"/>
  </si>
  <si>
    <t>tbody&gt;tr&gt;td:nth-child(2)</t>
    <phoneticPr fontId="8" type="noConversion"/>
  </si>
  <si>
    <t>//*[text()=' 通过 ']</t>
    <phoneticPr fontId="8" type="noConversion"/>
  </si>
  <si>
    <t>新增产品_通过</t>
    <phoneticPr fontId="8" type="noConversion"/>
  </si>
  <si>
    <t>textarea[prop='viewData.0.value.FLD_A_00015']</t>
    <phoneticPr fontId="8" type="noConversion"/>
  </si>
  <si>
    <t>[aria-label='通过'] .dialog-footer .el-button--primary</t>
    <phoneticPr fontId="8" type="noConversion"/>
  </si>
  <si>
    <t>进入产品详情</t>
  </si>
  <si>
    <t>审批通过</t>
  </si>
  <si>
    <t>审批意见</t>
  </si>
  <si>
    <t>审批确定</t>
  </si>
  <si>
    <t>通过</t>
    <phoneticPr fontId="8" type="noConversion"/>
  </si>
  <si>
    <t>产品管理_产品会签</t>
    <phoneticPr fontId="8" type="noConversion"/>
  </si>
  <si>
    <t>会签通过</t>
    <phoneticPr fontId="8" type="noConversion"/>
  </si>
  <si>
    <t>会签意见</t>
    <phoneticPr fontId="8" type="noConversion"/>
  </si>
  <si>
    <t>会签确定</t>
    <phoneticPr fontId="8" type="noConversion"/>
  </si>
  <si>
    <t>新增产品_意见</t>
    <phoneticPr fontId="8" type="noConversion"/>
  </si>
  <si>
    <t>校验需求方</t>
    <phoneticPr fontId="8" type="noConversion"/>
  </si>
  <si>
    <t>Verify_Equal</t>
    <phoneticPr fontId="8" type="noConversion"/>
  </si>
  <si>
    <t>Common</t>
    <phoneticPr fontId="8" type="noConversion"/>
  </si>
  <si>
    <t xml:space="preserve"> 
1.页面元素：PageObjects表填写的元素对象（id/tagName/class/cssSelector/xpath/linkText/paritalLinkText)
2.data数据：
 -a）当data只传入一个值，如Enabled/Displayed/Selected/元素文本值，表示判断元素是否可用/是否可见/是否被选/文本值是否相等
 -b) 当data传入两个值，如id;;username，表示判断元素属性id的值是否等于username</t>
    <phoneticPr fontId="8" type="noConversion"/>
  </si>
  <si>
    <t>需求方</t>
    <phoneticPr fontId="8" type="noConversion"/>
  </si>
  <si>
    <t>//*[text()=' 今天 ']</t>
    <phoneticPr fontId="8" type="noConversion"/>
  </si>
  <si>
    <t>日期按钮</t>
    <phoneticPr fontId="8" type="noConversion"/>
  </si>
  <si>
    <t>选择日期</t>
    <phoneticPr fontId="8" type="noConversion"/>
  </si>
  <si>
    <t>点击日期按钮</t>
    <phoneticPr fontId="8" type="noConversion"/>
  </si>
  <si>
    <t>点击选择日期</t>
    <phoneticPr fontId="8" type="noConversion"/>
  </si>
  <si>
    <t>需求管理_校验需求方</t>
    <phoneticPr fontId="8" type="noConversion"/>
  </si>
  <si>
    <t>verifyDemander</t>
    <phoneticPr fontId="8" type="noConversion"/>
  </si>
  <si>
    <t>[x-placement][role] input:first-child</t>
    <phoneticPr fontId="8" type="noConversion"/>
  </si>
  <si>
    <t>//*[@x-placement='bottom-start']//*[@class='el-tree-node is-expanded is-focusable'][1]</t>
    <phoneticPr fontId="8" type="noConversion"/>
  </si>
  <si>
    <t>下拉输入</t>
    <phoneticPr fontId="8" type="noConversion"/>
  </si>
  <si>
    <t>下拉点击</t>
    <phoneticPr fontId="8" type="noConversion"/>
  </si>
  <si>
    <t>模块选择</t>
    <phoneticPr fontId="8" type="noConversion"/>
  </si>
  <si>
    <t>//*[text()='需求描述']/..//*[@class='tox-edit-area__iframe']</t>
    <phoneticPr fontId="8" type="noConversion"/>
  </si>
  <si>
    <t>需求管理_校验需求相关方</t>
    <phoneticPr fontId="8" type="noConversion"/>
  </si>
  <si>
    <t>verifyNotModuleDemander</t>
    <phoneticPr fontId="8" type="noConversion"/>
  </si>
  <si>
    <r>
      <t>verify</t>
    </r>
    <r>
      <rPr>
        <sz val="11"/>
        <color theme="1"/>
        <rFont val="宋体"/>
        <family val="3"/>
        <charset val="134"/>
        <scheme val="minor"/>
      </rPr>
      <t>Sel</t>
    </r>
    <r>
      <rPr>
        <sz val="11"/>
        <color theme="1"/>
        <rFont val="宋体"/>
        <family val="3"/>
        <charset val="134"/>
        <scheme val="minor"/>
      </rPr>
      <t>ModuleDemander</t>
    </r>
    <phoneticPr fontId="8" type="noConversion"/>
  </si>
  <si>
    <t>高</t>
    <phoneticPr fontId="8" type="noConversion"/>
  </si>
  <si>
    <t>//*[text()='产品经理']/..//i[@class='svg-icon svg-icon--user el-input__icon']</t>
    <phoneticPr fontId="8" type="noConversion"/>
  </si>
  <si>
    <t>产品经理点击</t>
    <phoneticPr fontId="8" type="noConversion"/>
  </si>
  <si>
    <t>技术负责人点击</t>
    <phoneticPr fontId="8" type="noConversion"/>
  </si>
  <si>
    <t>产品经理点击</t>
    <phoneticPr fontId="8" type="noConversion"/>
  </si>
  <si>
    <t>产品经理选择</t>
    <phoneticPr fontId="8" type="noConversion"/>
  </si>
  <si>
    <t>chimy1</t>
    <phoneticPr fontId="8" type="noConversion"/>
  </si>
  <si>
    <t>会签者选择</t>
    <phoneticPr fontId="8" type="noConversion"/>
  </si>
  <si>
    <t>技术负责人选择</t>
    <phoneticPr fontId="8" type="noConversion"/>
  </si>
  <si>
    <t>规划专员选择</t>
    <phoneticPr fontId="8" type="noConversion"/>
  </si>
  <si>
    <t>规划专员点击</t>
    <phoneticPr fontId="8" type="noConversion"/>
  </si>
  <si>
    <t>技术负责人点击</t>
    <phoneticPr fontId="8" type="noConversion"/>
  </si>
  <si>
    <t>会签者点击</t>
    <phoneticPr fontId="8" type="noConversion"/>
  </si>
  <si>
    <t>//*[text()='技术负责人']/..//i[@class='svg-icon svg-icon--user el-input__icon']</t>
    <phoneticPr fontId="8" type="noConversion"/>
  </si>
  <si>
    <t>//*[text()='会签者']/..//i[@class='svg-icon svg-icon--user el-input__icon']</t>
    <phoneticPr fontId="8" type="noConversion"/>
  </si>
  <si>
    <t>//*[text()='规划专员']/ancestor::div[@style='']//i[@class='svg-icon svg-icon--user el-input__icon']</t>
    <phoneticPr fontId="8" type="noConversion"/>
  </si>
  <si>
    <t>管理文档_新建按钮</t>
    <phoneticPr fontId="8" type="noConversion"/>
  </si>
  <si>
    <t>新建文档按钮</t>
    <phoneticPr fontId="8" type="noConversion"/>
  </si>
  <si>
    <t>SelectFileToUpload</t>
    <phoneticPr fontId="8" type="noConversion"/>
  </si>
  <si>
    <t>2-需求规格说明书-模板.docx</t>
    <phoneticPr fontId="8" type="noConversion"/>
  </si>
  <si>
    <t>上传文件</t>
    <phoneticPr fontId="8" type="noConversion"/>
  </si>
  <si>
    <t>管理文档_上传文件</t>
    <phoneticPr fontId="8" type="noConversion"/>
  </si>
  <si>
    <t>//*[text()='上传本地文件']/ancestor::button/following-sibling::input</t>
    <phoneticPr fontId="8" type="noConversion"/>
  </si>
  <si>
    <t>xuyi16</t>
    <phoneticPr fontId="8" type="noConversion"/>
  </si>
  <si>
    <t>xudan18</t>
    <phoneticPr fontId="8" type="noConversion"/>
  </si>
  <si>
    <t>chuxj2</t>
    <phoneticPr fontId="8" type="noConversion"/>
  </si>
  <si>
    <t>Verify_AnyContain</t>
    <phoneticPr fontId="8" type="noConversion"/>
  </si>
  <si>
    <t>//*[@id='405c74e7-8955-4a8b-a102-ce21dce837ad_FLD_DT_00001']/div/div[1]/span/span/div/input</t>
    <phoneticPr fontId="8" type="noConversion"/>
  </si>
  <si>
    <t>需求管理_校验上传文件回填</t>
    <phoneticPr fontId="8" type="noConversion"/>
  </si>
  <si>
    <t>校验上传文件回填</t>
    <phoneticPr fontId="8" type="noConversion"/>
  </si>
  <si>
    <t>//*[@class='mr ml mb']/descendant::tbody[1]</t>
    <phoneticPr fontId="8" type="noConversion"/>
  </si>
  <si>
    <t>verifyFileUploadBackfill</t>
    <phoneticPr fontId="8" type="noConversion"/>
  </si>
  <si>
    <t>caiyj4</t>
    <phoneticPr fontId="8" type="noConversion"/>
  </si>
  <si>
    <t>跳转编辑页</t>
    <phoneticPr fontId="8" type="noConversion"/>
  </si>
  <si>
    <t>Verify_Contain</t>
    <phoneticPr fontId="8" type="noConversion"/>
  </si>
  <si>
    <t>需求管理_校验跳转编辑页</t>
    <phoneticPr fontId="8" type="noConversion"/>
  </si>
  <si>
    <t>verifyFileUploadGetEdit</t>
    <phoneticPr fontId="8" type="noConversion"/>
  </si>
  <si>
    <t>需求规格说明书</t>
    <phoneticPr fontId="8" type="noConversion"/>
  </si>
  <si>
    <t>编辑页内容</t>
    <phoneticPr fontId="8" type="noConversion"/>
  </si>
  <si>
    <t>需求管理_上传文件回填</t>
    <phoneticPr fontId="8" type="noConversion"/>
  </si>
  <si>
    <t>#app</t>
    <phoneticPr fontId="8" type="noConversion"/>
  </si>
  <si>
    <t>编辑主题</t>
    <phoneticPr fontId="8" type="noConversion"/>
  </si>
  <si>
    <t>//*[contains(text(),'美的集团版本化项目需求规格说明书')]</t>
    <phoneticPr fontId="8" type="noConversion"/>
  </si>
  <si>
    <t>编辑文件</t>
    <phoneticPr fontId="8" type="noConversion"/>
  </si>
  <si>
    <t>保存</t>
    <phoneticPr fontId="8" type="noConversion"/>
  </si>
  <si>
    <t>保存校验</t>
    <phoneticPr fontId="8" type="noConversion"/>
  </si>
  <si>
    <t>保存按钮</t>
    <phoneticPr fontId="8" type="noConversion"/>
  </si>
  <si>
    <t>需求管理_保存成功校验</t>
    <phoneticPr fontId="8" type="noConversion"/>
  </si>
  <si>
    <t>verifyFileUploadEdit</t>
    <phoneticPr fontId="8" type="noConversion"/>
  </si>
  <si>
    <t>保存成功</t>
    <phoneticPr fontId="8" type="noConversion"/>
  </si>
  <si>
    <t>.fbd-message-content</t>
    <phoneticPr fontId="8" type="noConversion"/>
  </si>
  <si>
    <t>保存按钮</t>
    <phoneticPr fontId="8" type="noConversion"/>
  </si>
  <si>
    <t>关闭页面</t>
    <phoneticPr fontId="8" type="noConversion"/>
  </si>
  <si>
    <t>CurrentWindowClose</t>
    <phoneticPr fontId="8" type="noConversion"/>
  </si>
  <si>
    <t>需求描述输入</t>
    <phoneticPr fontId="8" type="noConversion"/>
  </si>
  <si>
    <t>提交</t>
    <phoneticPr fontId="8" type="noConversion"/>
  </si>
  <si>
    <t>提交</t>
    <phoneticPr fontId="8" type="noConversion"/>
  </si>
  <si>
    <t>//li/*[text()='需求池']</t>
    <phoneticPr fontId="8" type="noConversion"/>
  </si>
  <si>
    <t>//*[contains(@id,'ad_PRODUCTID')]/descendant::input[@readonly='readonly']</t>
    <phoneticPr fontId="8" type="noConversion"/>
  </si>
  <si>
    <t>Click</t>
    <phoneticPr fontId="8" type="noConversion"/>
  </si>
  <si>
    <t>value;IoT</t>
    <phoneticPr fontId="8" type="noConversion"/>
  </si>
  <si>
    <t>//*[text()='期望实现日期']/following::i[2]</t>
    <phoneticPr fontId="8" type="noConversion"/>
  </si>
  <si>
    <t>//*[@prop='viewData.1.value.NAME']</t>
    <phoneticPr fontId="8" type="noConversion"/>
  </si>
  <si>
    <t>//*[contains(@id,'ad_FLD_S_00002')]/descendant::input[@readonly='readonly']</t>
    <phoneticPr fontId="8" type="noConversion"/>
  </si>
  <si>
    <t>//*[contains(@id,'ad_FLD_S_00003')]//*[@class='el-popover__reference-wrapper']/descendant::input</t>
    <phoneticPr fontId="8" type="noConversion"/>
  </si>
  <si>
    <t xml:space="preserve">产品经理;会签者;技术负责人;规划专员
</t>
    <phoneticPr fontId="8" type="noConversion"/>
  </si>
  <si>
    <t>ScrollIntoView</t>
    <phoneticPr fontId="8" type="noConversion"/>
  </si>
  <si>
    <t>拖动滚动条</t>
    <phoneticPr fontId="8" type="noConversion"/>
  </si>
  <si>
    <t>跳出iframe</t>
    <phoneticPr fontId="8" type="noConversion"/>
  </si>
  <si>
    <t>signProduction</t>
    <phoneticPr fontId="8" type="noConversion"/>
  </si>
  <si>
    <t>产品管理_模块全流程配置</t>
    <phoneticPr fontId="8" type="noConversion"/>
  </si>
  <si>
    <t>产品管理_产品列表</t>
  </si>
  <si>
    <t>产品管理_产品列表</t>
    <phoneticPr fontId="8" type="noConversion"/>
  </si>
  <si>
    <t>li [title=产品列表]</t>
    <phoneticPr fontId="8" type="noConversion"/>
  </si>
  <si>
    <t>productionAdd</t>
  </si>
  <si>
    <t>productionList</t>
    <phoneticPr fontId="8" type="noConversion"/>
  </si>
  <si>
    <t>(//*[@class='table-list__wrapper']//input)[2]</t>
    <phoneticPr fontId="8" type="noConversion"/>
  </si>
  <si>
    <t>产品列表_名称查询</t>
    <phoneticPr fontId="8" type="noConversion"/>
  </si>
  <si>
    <t>点击产品列表</t>
    <phoneticPr fontId="8" type="noConversion"/>
  </si>
  <si>
    <t>输入产品名称查询</t>
    <phoneticPr fontId="8" type="noConversion"/>
  </si>
  <si>
    <t>#tab-module</t>
    <phoneticPr fontId="8" type="noConversion"/>
  </si>
  <si>
    <t>产品列表_产品模块</t>
    <phoneticPr fontId="8" type="noConversion"/>
  </si>
  <si>
    <t>点击产品模块</t>
    <phoneticPr fontId="8" type="noConversion"/>
  </si>
  <si>
    <t>产品列表_产品模块流程配置产品经理</t>
    <phoneticPr fontId="8" type="noConversion"/>
  </si>
  <si>
    <t>产品列表_产品模块流程配置会签</t>
    <phoneticPr fontId="8" type="noConversion"/>
  </si>
  <si>
    <t>产品列表_产品模块流程配置产品负责人</t>
    <phoneticPr fontId="8" type="noConversion"/>
  </si>
  <si>
    <t>SwitchToNumWindow</t>
    <phoneticPr fontId="8" type="noConversion"/>
  </si>
  <si>
    <t>切换文件编辑iframe</t>
    <phoneticPr fontId="8" type="noConversion"/>
  </si>
  <si>
    <t>.web-office-iframe</t>
    <phoneticPr fontId="8" type="noConversion"/>
  </si>
  <si>
    <t>#fileNameBox span:first-child</t>
    <phoneticPr fontId="8" type="noConversion"/>
  </si>
  <si>
    <t>waitForObjectAppear</t>
  </si>
  <si>
    <t>等待编辑主题元素加载完成</t>
    <phoneticPr fontId="8" type="noConversion"/>
  </si>
  <si>
    <t>.icons.icons-16.icons-16-clear_formats</t>
    <phoneticPr fontId="8" type="noConversion"/>
  </si>
  <si>
    <t>清除格式</t>
    <phoneticPr fontId="8" type="noConversion"/>
  </si>
  <si>
    <t xml:space="preserve">2-需求规格说明书-模板 </t>
    <phoneticPr fontId="8" type="noConversion"/>
  </si>
  <si>
    <t>编辑校验</t>
    <phoneticPr fontId="8" type="noConversion"/>
  </si>
  <si>
    <t>等待页面跳转</t>
    <phoneticPr fontId="8" type="noConversion"/>
  </si>
  <si>
    <t xml:space="preserve">产品经理;规划专员
</t>
    <phoneticPr fontId="8" type="noConversion"/>
  </si>
  <si>
    <t>需求管理_新建文档</t>
    <phoneticPr fontId="8" type="noConversion"/>
  </si>
  <si>
    <t>//span[text()='标题']/ancestor::div[@class='cell']//input[@type='text']</t>
    <phoneticPr fontId="8" type="noConversion"/>
  </si>
  <si>
    <t>标题搜索</t>
    <phoneticPr fontId="8" type="noConversion"/>
  </si>
  <si>
    <t>输入标题</t>
    <phoneticPr fontId="8" type="noConversion"/>
  </si>
  <si>
    <t>标题</t>
    <phoneticPr fontId="8" type="noConversion"/>
  </si>
  <si>
    <t>点击标题</t>
    <phoneticPr fontId="8" type="noConversion"/>
  </si>
  <si>
    <t>//*[@class='el-table__row']/td[3]</t>
    <phoneticPr fontId="8" type="noConversion"/>
  </si>
  <si>
    <t>设置标题变量</t>
    <phoneticPr fontId="8" type="noConversion"/>
  </si>
  <si>
    <t>title</t>
    <phoneticPr fontId="8" type="noConversion"/>
  </si>
  <si>
    <t>{{title}}</t>
    <phoneticPr fontId="8" type="noConversion"/>
  </si>
  <si>
    <t>//*[@class='el-table el-table--fit el-table--border el-table--enable-row-transition']/following-sibling::button</t>
    <phoneticPr fontId="8" type="noConversion"/>
  </si>
  <si>
    <t>新增文档</t>
    <phoneticPr fontId="8" type="noConversion"/>
  </si>
  <si>
    <t>//*[@class='mr ml mb']//td[not(contains(@class,'is-hidden'))]//*[text()='新建']/ancestor::button[not(contains(@class,'is-disabled'))]</t>
    <phoneticPr fontId="8" type="noConversion"/>
  </si>
  <si>
    <t>点击新建文档</t>
    <phoneticPr fontId="8" type="noConversion"/>
  </si>
  <si>
    <t>点击新增文档</t>
    <phoneticPr fontId="8" type="noConversion"/>
  </si>
  <si>
    <t>demandAddFileForD</t>
    <phoneticPr fontId="8" type="noConversion"/>
  </si>
  <si>
    <t>demandAddFileForTd</t>
    <phoneticPr fontId="8" type="noConversion"/>
  </si>
  <si>
    <t>需求管理_新建技术文档</t>
    <phoneticPr fontId="8" type="noConversion"/>
  </si>
  <si>
    <t>demandForTd</t>
    <phoneticPr fontId="8" type="noConversion"/>
  </si>
  <si>
    <t>需求管理_技术负责人审批</t>
    <phoneticPr fontId="8" type="noConversion"/>
  </si>
  <si>
    <t>QM-GC08.0035-2021 附件4：IT项目Git管理规程.docx</t>
    <phoneticPr fontId="8" type="noConversion"/>
  </si>
  <si>
    <t>verifyFileUploadGetEditForTd</t>
    <phoneticPr fontId="8" type="noConversion"/>
  </si>
  <si>
    <t>需求管理_校验跳转技术文档编辑页</t>
    <phoneticPr fontId="8" type="noConversion"/>
  </si>
  <si>
    <t>IT项目Git操作规范</t>
    <phoneticPr fontId="8" type="noConversion"/>
  </si>
  <si>
    <t>editAttribute</t>
    <phoneticPr fontId="8" type="noConversion"/>
  </si>
  <si>
    <t xml:space="preserve">1.页面元素：PageObjects表填写的元素对象（id/tagName/class/cssSelector/xpath/linkText/paritalLinkText)
2.data数据：格式如下：
 -文本值（有多个用；隔开），表示期望修改的文本值
</t>
    <phoneticPr fontId="8" type="noConversion"/>
  </si>
  <si>
    <t>选择会签</t>
    <phoneticPr fontId="8" type="noConversion"/>
  </si>
  <si>
    <t>选择产品负责人</t>
    <phoneticPr fontId="8" type="noConversion"/>
  </si>
  <si>
    <t>产品管理_固化人员</t>
    <phoneticPr fontId="8" type="noConversion"/>
  </si>
  <si>
    <t>//h2/following-sibling::*[text()='产品配置']</t>
    <phoneticPr fontId="8" type="noConversion"/>
  </si>
  <si>
    <t>产品列表_产品配置</t>
    <phoneticPr fontId="8" type="noConversion"/>
  </si>
  <si>
    <t>//*[text()='角色人员固化']</t>
    <phoneticPr fontId="8" type="noConversion"/>
  </si>
  <si>
    <t>产品列表_角色人员固化</t>
    <phoneticPr fontId="8" type="noConversion"/>
  </si>
  <si>
    <t>//*[@class='el-select el-select--small']//span[1]</t>
    <phoneticPr fontId="8" type="noConversion"/>
  </si>
  <si>
    <t>产品列表_流程类型下拉框</t>
    <phoneticPr fontId="8" type="noConversion"/>
  </si>
  <si>
    <t>产品列表_流程类型下拉框选择</t>
    <phoneticPr fontId="8" type="noConversion"/>
  </si>
  <si>
    <t>//*[@class='el-select-dropdown__wrap el-scrollbar__wrap']//*[text()='需求管理']</t>
    <phoneticPr fontId="8" type="noConversion"/>
  </si>
  <si>
    <t>点击产品配置</t>
    <phoneticPr fontId="8" type="noConversion"/>
  </si>
  <si>
    <t>点击角色人员固化</t>
    <phoneticPr fontId="8" type="noConversion"/>
  </si>
  <si>
    <t>点击流程类型下拉框</t>
    <phoneticPr fontId="8" type="noConversion"/>
  </si>
  <si>
    <t>//*[text()=' 技术负责人 ']/ancestor::*[@class='el-table__row']/td[4]//button</t>
    <phoneticPr fontId="8" type="noConversion"/>
  </si>
  <si>
    <t>产品列表_技术负责人维护成员</t>
    <phoneticPr fontId="8" type="noConversion"/>
  </si>
  <si>
    <t>产品列表_需求会签维护成员</t>
    <phoneticPr fontId="8" type="noConversion"/>
  </si>
  <si>
    <t>产品列表_产品经理维护成员</t>
    <phoneticPr fontId="8" type="noConversion"/>
  </si>
  <si>
    <t>产品列表_规划专员维护成员</t>
    <phoneticPr fontId="8" type="noConversion"/>
  </si>
  <si>
    <t>//*[text()=' 新增成员 ']/ancestor::button</t>
    <phoneticPr fontId="8" type="noConversion"/>
  </si>
  <si>
    <t>.svg-icon.svg-icon--user.el-input__icon</t>
    <phoneticPr fontId="8" type="noConversion"/>
  </si>
  <si>
    <t>产品列表_维护成员添加姓名</t>
    <phoneticPr fontId="8" type="noConversion"/>
  </si>
  <si>
    <t>点击维护成员新增按钮</t>
    <phoneticPr fontId="8" type="noConversion"/>
  </si>
  <si>
    <t>产品列表_维护成员新增</t>
    <phoneticPr fontId="8" type="noConversion"/>
  </si>
  <si>
    <t>点击维护成员添加姓名按钮</t>
    <phoneticPr fontId="8" type="noConversion"/>
  </si>
  <si>
    <t>产品管理_固化人员校验</t>
    <phoneticPr fontId="8" type="noConversion"/>
  </si>
  <si>
    <t>//*[@aria-label='维护成员']//*[text()='确定']/..</t>
    <phoneticPr fontId="8" type="noConversion"/>
  </si>
  <si>
    <t>产品列表_维护成员确定</t>
    <phoneticPr fontId="8" type="noConversion"/>
  </si>
  <si>
    <t>点击确定添加</t>
    <phoneticPr fontId="8" type="noConversion"/>
  </si>
  <si>
    <t>[title='单击复制;双击复制全部']</t>
    <phoneticPr fontId="8" type="noConversion"/>
  </si>
  <si>
    <t>人员信息校验</t>
    <phoneticPr fontId="8" type="noConversion"/>
  </si>
  <si>
    <t>固化人员校验</t>
    <phoneticPr fontId="8" type="noConversion"/>
  </si>
  <si>
    <t>产品管理_固化人员取消</t>
    <phoneticPr fontId="8" type="noConversion"/>
  </si>
  <si>
    <t>回到产品详情</t>
    <phoneticPr fontId="8" type="noConversion"/>
  </si>
  <si>
    <t>选择流程类型：需求管理</t>
    <phoneticPr fontId="8" type="noConversion"/>
  </si>
  <si>
    <t>点击技术负责人维护</t>
    <phoneticPr fontId="8" type="noConversion"/>
  </si>
  <si>
    <t>点击规划专员维护</t>
    <phoneticPr fontId="8" type="noConversion"/>
  </si>
  <si>
    <t>点击产品经理维护</t>
    <phoneticPr fontId="8" type="noConversion"/>
  </si>
  <si>
    <t>点击需求会签维护</t>
    <phoneticPr fontId="8" type="noConversion"/>
  </si>
  <si>
    <t>产品列表_人员信息校验</t>
    <phoneticPr fontId="8" type="noConversion"/>
  </si>
  <si>
    <t>//*[@aria-label='维护成员']//*[text()='删除']/..</t>
    <phoneticPr fontId="8" type="noConversion"/>
  </si>
  <si>
    <t>产品列表_维护成员删除</t>
    <phoneticPr fontId="8" type="noConversion"/>
  </si>
  <si>
    <t>删除维护成员</t>
    <phoneticPr fontId="8" type="noConversion"/>
  </si>
  <si>
    <t>点击确定删除</t>
    <phoneticPr fontId="8" type="noConversion"/>
  </si>
  <si>
    <t>delFixedPer</t>
    <phoneticPr fontId="8" type="noConversion"/>
  </si>
  <si>
    <t>verifyAddFixedPer</t>
    <phoneticPr fontId="8" type="noConversion"/>
  </si>
  <si>
    <t>addFixedPer</t>
    <phoneticPr fontId="8" type="noConversion"/>
  </si>
  <si>
    <t>产品管理_模块单审核节点配置</t>
    <phoneticPr fontId="8" type="noConversion"/>
  </si>
  <si>
    <t>需求管理_未选择模块新建需求</t>
    <phoneticPr fontId="8" type="noConversion"/>
  </si>
  <si>
    <t>需求管理_选择模块新建需求</t>
    <phoneticPr fontId="8" type="noConversion"/>
  </si>
  <si>
    <t>verifyElementNum</t>
    <phoneticPr fontId="8" type="noConversion"/>
  </si>
  <si>
    <t>1.页面元素：PageObjects表填写的元素对象（id/tagName/class/cssSelector/xpath/linkText/paritalLinkText)
2.data数据：格式如下：
 -数值</t>
    <phoneticPr fontId="8" type="noConversion"/>
  </si>
  <si>
    <t>校验属性数是否一致</t>
    <phoneticPr fontId="8" type="noConversion"/>
  </si>
  <si>
    <t>角色数</t>
    <phoneticPr fontId="8" type="noConversion"/>
  </si>
  <si>
    <t>//*[@class='processConfig__node-wrap']/*[not(@style)]</t>
    <phoneticPr fontId="8" type="noConversion"/>
  </si>
  <si>
    <t>需求管理_需求编号查询</t>
    <phoneticPr fontId="8" type="noConversion"/>
  </si>
  <si>
    <t>查询编号</t>
    <phoneticPr fontId="8" type="noConversion"/>
  </si>
  <si>
    <t>//span[text()='编号']/ancestor::div[@class='cell']//input[@type='text']</t>
    <phoneticPr fontId="8" type="noConversion"/>
  </si>
  <si>
    <t>编号搜索</t>
    <phoneticPr fontId="8" type="noConversion"/>
  </si>
  <si>
    <t>REQ2021060280058</t>
    <phoneticPr fontId="8" type="noConversion"/>
  </si>
  <si>
    <t>.el-table__row</t>
    <phoneticPr fontId="8" type="noConversion"/>
  </si>
  <si>
    <t>需求查询数据</t>
    <phoneticPr fontId="8" type="noConversion"/>
  </si>
  <si>
    <t>校验是否查询成功</t>
    <phoneticPr fontId="8" type="noConversion"/>
  </si>
  <si>
    <t>校验查询结果</t>
    <phoneticPr fontId="8" type="noConversion"/>
  </si>
  <si>
    <t>verifyDemandNoSelect</t>
    <phoneticPr fontId="8" type="noConversion"/>
  </si>
  <si>
    <t>DemandNoSelect</t>
    <phoneticPr fontId="8" type="noConversion"/>
  </si>
  <si>
    <t>驳回按钮</t>
    <phoneticPr fontId="8" type="noConversion"/>
  </si>
  <si>
    <t>需求管理_产品经理驳回</t>
    <phoneticPr fontId="8" type="noConversion"/>
  </si>
  <si>
    <t>点击标题进入</t>
    <phoneticPr fontId="8" type="noConversion"/>
  </si>
  <si>
    <t>驳回</t>
    <phoneticPr fontId="8" type="noConversion"/>
  </si>
  <si>
    <t>.flowInfo__textarea.el-textarea.el-input--suffix textarea</t>
    <phoneticPr fontId="8" type="noConversion"/>
  </si>
  <si>
    <t>//*[text()=' 确定 ']</t>
    <phoneticPr fontId="8" type="noConversion"/>
  </si>
  <si>
    <t>驳回意见确定</t>
    <phoneticPr fontId="8" type="noConversion"/>
  </si>
  <si>
    <t>驳回确定</t>
    <phoneticPr fontId="8" type="noConversion"/>
  </si>
  <si>
    <t>.flowTabs__button-box button:nth-child(2)</t>
    <phoneticPr fontId="8" type="noConversion"/>
  </si>
  <si>
    <t>重新提交</t>
    <phoneticPr fontId="8" type="noConversion"/>
  </si>
  <si>
    <t>需求管理_重新提交</t>
    <phoneticPr fontId="8" type="noConversion"/>
  </si>
  <si>
    <t>http://10.16.100.168:8084/login</t>
  </si>
  <si>
    <t>http://10.16.100.168:8084/index</t>
  </si>
  <si>
    <t>http://10.16.100.168:8084/ALM/product/f1f3372a-27b8-4b8c-9db2-56fabc4684d2/summary/</t>
  </si>
  <si>
    <t>Rdm!2020</t>
    <phoneticPr fontId="8" type="noConversion"/>
  </si>
  <si>
    <t>auditProduction</t>
    <phoneticPr fontId="8" type="noConversion"/>
  </si>
  <si>
    <t>请必须在右边单元格填上一个文件夹名（该文件夹会存放这里所有页面元素类）</t>
    <phoneticPr fontId="8" type="noConversion"/>
  </si>
  <si>
    <t>新增产品_提交确定</t>
  </si>
  <si>
    <t>新增产品_提交确定</t>
    <phoneticPr fontId="8" type="noConversion"/>
  </si>
  <si>
    <t>新增产品_审核确定</t>
    <phoneticPr fontId="8" type="noConversion"/>
  </si>
  <si>
    <t>Click</t>
    <phoneticPr fontId="8" type="noConversion"/>
  </si>
  <si>
    <t>waitForElementToBeClickable</t>
    <phoneticPr fontId="8" type="noConversion"/>
  </si>
  <si>
    <t>跳转等待</t>
    <phoneticPr fontId="8" type="noConversion"/>
  </si>
  <si>
    <t>选中审批人</t>
    <phoneticPr fontId="8" type="noConversion"/>
  </si>
  <si>
    <t>选中会签人</t>
    <phoneticPr fontId="8" type="noConversion"/>
  </si>
  <si>
    <t>产品列表_产品</t>
    <phoneticPr fontId="8" type="noConversion"/>
  </si>
  <si>
    <t>tbody tr td:nth-child(2) a</t>
    <phoneticPr fontId="8" type="noConversion"/>
  </si>
  <si>
    <t>editOneNodeProductionMoudle</t>
    <phoneticPr fontId="8" type="noConversion"/>
  </si>
  <si>
    <t>editAnyNodeProductionMoudle</t>
    <phoneticPr fontId="8" type="noConversion"/>
  </si>
  <si>
    <t>点击产品详情</t>
    <phoneticPr fontId="8" type="noConversion"/>
  </si>
  <si>
    <t>产品列表_产品详情</t>
    <phoneticPr fontId="8" type="noConversion"/>
  </si>
  <si>
    <t>等待元素可见</t>
    <phoneticPr fontId="8" type="noConversion"/>
  </si>
  <si>
    <t>.el-checkbox__inner</t>
    <phoneticPr fontId="8" type="noConversion"/>
  </si>
  <si>
    <t>产品列表_产品固化</t>
    <phoneticPr fontId="8" type="noConversion"/>
  </si>
  <si>
    <t>点击固化</t>
    <phoneticPr fontId="8" type="noConversion"/>
  </si>
  <si>
    <t>//*[text()=' 需求会签 ']/ancestor::*[@class='el-table__row']/td[4]//button</t>
    <phoneticPr fontId="8" type="noConversion"/>
  </si>
  <si>
    <t>//*[text()=' 产品经理 ']/ancestor::*[@class='el-table__row']/td[4]//button</t>
    <phoneticPr fontId="8" type="noConversion"/>
  </si>
  <si>
    <t>//*[text()=' 规划专员 ']/ancestor::*[@class='el-table__row']/td[4]//button</t>
    <phoneticPr fontId="8" type="noConversion"/>
  </si>
  <si>
    <t>[title='单击复制;双击复制全部']</t>
    <phoneticPr fontId="8" type="noConversion"/>
  </si>
  <si>
    <t>waitForObjectAppear</t>
    <phoneticPr fontId="8" type="noConversion"/>
  </si>
  <si>
    <t>等待模拟登录可见</t>
    <phoneticPr fontId="8" type="noConversion"/>
  </si>
  <si>
    <t>重金属1</t>
    <phoneticPr fontId="8" type="noConversion"/>
  </si>
  <si>
    <t>测试需求</t>
    <phoneticPr fontId="8" type="noConversion"/>
  </si>
  <si>
    <t>DemandSubmitAgain</t>
    <phoneticPr fontId="8" type="noConversion"/>
  </si>
  <si>
    <t>http://10.16.100.168:8084/flowList/BE1</t>
    <phoneticPr fontId="8" type="noConversion"/>
  </si>
  <si>
    <t>回到产品列表</t>
    <phoneticPr fontId="8" type="noConversion"/>
  </si>
  <si>
    <t>重金属模块</t>
    <phoneticPr fontId="8" type="noConversion"/>
  </si>
  <si>
    <t>ClickIfExite</t>
    <phoneticPr fontId="8" type="noConversion"/>
  </si>
  <si>
    <t>1.页面元素：PageObjects表填写的元素对象（id/tagName/class/cssSelector/xpath/linkText/paritalLinkText)
3.data数据：格式如下：
 -属性；属性值</t>
    <phoneticPr fontId="8" type="noConversion"/>
  </si>
  <si>
    <t>属性值一致则点击</t>
    <phoneticPr fontId="8" type="noConversion"/>
  </si>
  <si>
    <t>.demand-config&gt;label:nth-child(4)</t>
    <phoneticPr fontId="8" type="noConversion"/>
  </si>
  <si>
    <t>.demand-config&gt;label:nth-child(5)</t>
    <phoneticPr fontId="8" type="noConversion"/>
  </si>
  <si>
    <t>.demand-config&gt;label:nth-child(6)</t>
    <phoneticPr fontId="8" type="noConversion"/>
  </si>
  <si>
    <t>class;el-checkbox</t>
    <phoneticPr fontId="8" type="noConversion"/>
  </si>
  <si>
    <t>选择产品经理</t>
    <phoneticPr fontId="8" type="noConversion"/>
  </si>
  <si>
    <t>class;el-checkbox is-checked</t>
    <phoneticPr fontId="8" type="noConversion"/>
  </si>
  <si>
    <t>点击流程配置</t>
    <phoneticPr fontId="8" type="noConversion"/>
  </si>
  <si>
    <t>产品列表_产品流程配置产品经理</t>
    <phoneticPr fontId="8" type="noConversion"/>
  </si>
  <si>
    <t>产品列表_产品流程配置会签</t>
    <phoneticPr fontId="8" type="noConversion"/>
  </si>
  <si>
    <t>产品列表_产品流程配置产品负责人</t>
    <phoneticPr fontId="8" type="noConversion"/>
  </si>
  <si>
    <t>.bgw.tabs-layout__container&gt;label:nth-child(2)</t>
    <phoneticPr fontId="8" type="noConversion"/>
  </si>
  <si>
    <t>.bgw.tabs-layout__container&gt;label:nth-child(3)</t>
  </si>
  <si>
    <t>.bgw.tabs-layout__container&gt;label:nth-child(4)</t>
  </si>
  <si>
    <t>重金属[a-zA-Z0-9-]*</t>
    <phoneticPr fontId="8" type="noConversion"/>
  </si>
  <si>
    <t>.flowTabs__button-box button:nth-child(1)</t>
    <phoneticPr fontId="8" type="noConversion"/>
  </si>
  <si>
    <t>审批</t>
    <phoneticPr fontId="8" type="noConversion"/>
  </si>
  <si>
    <t>意见</t>
    <phoneticPr fontId="8" type="noConversion"/>
  </si>
  <si>
    <t>意见确定</t>
    <phoneticPr fontId="8" type="noConversion"/>
  </si>
  <si>
    <t>审批意见输入</t>
    <phoneticPr fontId="8" type="noConversion"/>
  </si>
  <si>
    <t>agree</t>
    <phoneticPr fontId="8" type="noConversion"/>
  </si>
  <si>
    <t>点击审批确定</t>
    <phoneticPr fontId="8" type="noConversion"/>
  </si>
  <si>
    <t>点击审批</t>
    <phoneticPr fontId="8" type="noConversion"/>
  </si>
  <si>
    <t>进入需求详情</t>
    <phoneticPr fontId="8" type="noConversion"/>
  </si>
  <si>
    <t>需求管理_会签审批</t>
    <phoneticPr fontId="8" type="noConversion"/>
  </si>
  <si>
    <t>需求管理_产品经理审批</t>
    <phoneticPr fontId="8" type="noConversion"/>
  </si>
  <si>
    <t>demandPMExamine</t>
    <phoneticPr fontId="8" type="noConversion"/>
  </si>
  <si>
    <t>demandSignerExamine</t>
    <phoneticPr fontId="8" type="noConversion"/>
  </si>
  <si>
    <t>verifyFileUploadEditForTd</t>
    <phoneticPr fontId="8" type="noConversion"/>
  </si>
  <si>
    <t>verifyFileUploadBackfillForTd</t>
    <phoneticPr fontId="8" type="noConversion"/>
  </si>
  <si>
    <t>需求管理_技术文档保存成功校验</t>
    <phoneticPr fontId="8" type="noConversion"/>
  </si>
  <si>
    <t>需求管理_校验上传技术文档回填</t>
    <phoneticPr fontId="8" type="noConversion"/>
  </si>
  <si>
    <t>2-需求规格说明书-模板;需求文档</t>
    <phoneticPr fontId="8" type="noConversion"/>
  </si>
  <si>
    <t>IT项目Git管理规程;技术文档</t>
    <phoneticPr fontId="8" type="noConversion"/>
  </si>
  <si>
    <t>领域人员校验</t>
    <phoneticPr fontId="8" type="noConversion"/>
  </si>
  <si>
    <t>verifyFieldpersonnel</t>
    <phoneticPr fontId="8" type="noConversion"/>
  </si>
  <si>
    <t>点击需求规划</t>
    <phoneticPr fontId="8" type="noConversion"/>
  </si>
  <si>
    <t>需求管理_领域人员校验</t>
    <phoneticPr fontId="8" type="noConversion"/>
  </si>
  <si>
    <t>需求管理_规划专员审批</t>
    <phoneticPr fontId="8" type="noConversion"/>
  </si>
  <si>
    <t>需求管理_新建需求版本</t>
    <phoneticPr fontId="8" type="noConversion"/>
  </si>
  <si>
    <t>.flowForm__left.is-dialog button</t>
    <phoneticPr fontId="8" type="noConversion"/>
  </si>
  <si>
    <t>新建版本</t>
    <phoneticPr fontId="8" type="noConversion"/>
  </si>
  <si>
    <t>新建版本名称</t>
    <phoneticPr fontId="8" type="noConversion"/>
  </si>
  <si>
    <t>新建版本号</t>
    <phoneticPr fontId="8" type="noConversion"/>
  </si>
  <si>
    <t>新建版本类型</t>
    <phoneticPr fontId="8" type="noConversion"/>
  </si>
  <si>
    <t>新建版本计划部署时间</t>
    <phoneticPr fontId="8" type="noConversion"/>
  </si>
  <si>
    <t>弹出选中</t>
  </si>
  <si>
    <t>弹出选中</t>
    <phoneticPr fontId="8" type="noConversion"/>
  </si>
  <si>
    <t>[for='0.2.value']+div</t>
    <phoneticPr fontId="8" type="noConversion"/>
  </si>
  <si>
    <t>版本类型</t>
    <phoneticPr fontId="8" type="noConversion"/>
  </si>
  <si>
    <t>下拉输入</t>
  </si>
  <si>
    <t>下拉输入</t>
    <phoneticPr fontId="8" type="noConversion"/>
  </si>
  <si>
    <t>.el-picker-panel__content tr:nth-child(4)&gt;td:nth-child(4)</t>
    <phoneticPr fontId="8" type="noConversion"/>
  </si>
  <si>
    <t>日期选择_天</t>
    <phoneticPr fontId="8" type="noConversion"/>
  </si>
  <si>
    <t>日期选择_年</t>
    <phoneticPr fontId="8" type="noConversion"/>
  </si>
  <si>
    <t>.el-picker-panel__body [aria-label=后一年]</t>
  </si>
  <si>
    <t>.el-date-editor--date</t>
    <phoneticPr fontId="8" type="noConversion"/>
  </si>
  <si>
    <t>版本名称输入</t>
    <phoneticPr fontId="8" type="noConversion"/>
  </si>
  <si>
    <t>版本号输入</t>
    <phoneticPr fontId="8" type="noConversion"/>
  </si>
  <si>
    <t>版本类型输入</t>
    <phoneticPr fontId="8" type="noConversion"/>
  </si>
  <si>
    <t>版本部署日期输入</t>
    <phoneticPr fontId="8" type="noConversion"/>
  </si>
  <si>
    <t>addDemandEdition</t>
    <phoneticPr fontId="8" type="noConversion"/>
  </si>
  <si>
    <t>.head--status__wrap button:nth-child(1)</t>
    <phoneticPr fontId="8" type="noConversion"/>
  </si>
  <si>
    <t>版本新建提交</t>
    <phoneticPr fontId="8" type="noConversion"/>
  </si>
  <si>
    <t>版本新建提交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</si>
</sst>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&quot;需求列表_&quot;@"/>
  </numFmts>
  <fonts count="25" x14ac:knownFonts="1">
    <font>
      <sz val="11"/>
      <color theme="1"/>
      <name val="宋体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u/>
      <sz val="11"/>
      <color theme="10"/>
      <name val="宋体"/>
      <family val="2"/>
      <scheme val="minor"/>
    </font>
    <font>
      <sz val="11"/>
      <color rgb="FFFF0000"/>
      <name val="宋体"/>
      <family val="2"/>
      <scheme val="minor"/>
    </font>
    <font>
      <sz val="11"/>
      <name val="宋体"/>
      <family val="3"/>
      <charset val="134"/>
      <scheme val="minor"/>
    </font>
    <font>
      <sz val="11"/>
      <name val="宋体"/>
      <family val="2"/>
      <scheme val="minor"/>
    </font>
    <font>
      <u/>
      <sz val="11"/>
      <color theme="10"/>
      <name val="宋体"/>
      <family val="3"/>
      <charset val="134"/>
      <scheme val="minor"/>
    </font>
    <font>
      <sz val="11"/>
      <color rgb="FF0000FF"/>
      <name val="宋体"/>
      <family val="2"/>
      <scheme val="minor"/>
    </font>
    <font>
      <b/>
      <sz val="11"/>
      <color rgb="FF0000FF"/>
      <name val="宋体"/>
      <family val="3"/>
      <charset val="134"/>
      <scheme val="minor"/>
    </font>
    <font>
      <sz val="11"/>
      <color rgb="FF0000FF"/>
      <name val="宋体"/>
      <family val="3"/>
      <charset val="134"/>
      <scheme val="minor"/>
    </font>
    <font>
      <b/>
      <sz val="14"/>
      <color theme="1"/>
      <name val="宋体"/>
      <family val="3"/>
      <charset val="134"/>
      <scheme val="minor"/>
    </font>
    <font>
      <b/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0000"/>
      <name val="宋体"/>
      <family val="3"/>
      <charset val="134"/>
    </font>
    <font>
      <b/>
      <sz val="11"/>
      <color rgb="FF0000FF"/>
      <name val="宋体"/>
      <family val="3"/>
      <charset val="134"/>
    </font>
    <font>
      <sz val="11"/>
      <color rgb="FF000000"/>
      <name val="宋体"/>
      <family val="3"/>
      <charset val="134"/>
    </font>
    <font>
      <sz val="7"/>
      <color rgb="FF606266"/>
      <name val="微软雅黑"/>
      <family val="2"/>
      <charset val="134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145481734672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2065187536243"/>
        <bgColor indexed="64"/>
      </patternFill>
    </fill>
    <fill>
      <patternFill patternType="solid">
        <fgColor theme="4" tint="0.7999206518753624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8596148564104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5">
    <xf numFmtId="0" fontId="0" fillId="0" borderId="0"/>
    <xf numFmtId="0" fontId="9" fillId="0" borderId="0"/>
    <xf numFmtId="0" fontId="1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7" fillId="0" borderId="0"/>
  </cellStyleXfs>
  <cellXfs count="119">
    <xf numFmtId="0" fontId="0" fillId="0" borderId="0" xfId="0"/>
    <xf numFmtId="0" fontId="0" fillId="0" borderId="0" xfId="0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0" fillId="2" borderId="1" xfId="0" applyFill="1" applyBorder="1" applyAlignment="1">
      <alignment vertical="center" wrapText="1"/>
    </xf>
    <xf numFmtId="0" fontId="0" fillId="6" borderId="1" xfId="0" applyFill="1" applyBorder="1"/>
    <xf numFmtId="0" fontId="0" fillId="0" borderId="1" xfId="0" applyBorder="1" applyAlignment="1">
      <alignment vertical="center" wrapText="1"/>
    </xf>
    <xf numFmtId="0" fontId="0" fillId="0" borderId="0" xfId="0" applyAlignment="1">
      <alignment wrapText="1"/>
    </xf>
    <xf numFmtId="0" fontId="0" fillId="7" borderId="1" xfId="0" applyFill="1" applyBorder="1" applyAlignment="1">
      <alignment vertical="center" wrapText="1"/>
    </xf>
    <xf numFmtId="0" fontId="4" fillId="2" borderId="1" xfId="0" applyFont="1" applyFill="1" applyBorder="1" applyAlignment="1">
      <alignment vertical="center" wrapText="1"/>
    </xf>
    <xf numFmtId="0" fontId="4" fillId="7" borderId="1" xfId="0" applyFont="1" applyFill="1" applyBorder="1" applyAlignment="1">
      <alignment vertical="center" wrapText="1"/>
    </xf>
    <xf numFmtId="0" fontId="0" fillId="2" borderId="0" xfId="0" applyFill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1" xfId="0" applyBorder="1"/>
    <xf numFmtId="0" fontId="0" fillId="0" borderId="1" xfId="0" applyBorder="1" applyAlignment="1">
      <alignment wrapText="1"/>
    </xf>
    <xf numFmtId="0" fontId="7" fillId="0" borderId="1" xfId="0" applyFont="1" applyBorder="1" applyAlignment="1">
      <alignment wrapText="1"/>
    </xf>
    <xf numFmtId="0" fontId="1" fillId="2" borderId="1" xfId="0" applyFont="1" applyFill="1" applyBorder="1" applyAlignment="1">
      <alignment vertical="center" wrapText="1"/>
    </xf>
    <xf numFmtId="0" fontId="4" fillId="2" borderId="0" xfId="0" quotePrefix="1" applyFont="1" applyFill="1" applyAlignment="1">
      <alignment vertical="center" wrapText="1"/>
    </xf>
    <xf numFmtId="0" fontId="10" fillId="0" borderId="1" xfId="2" applyBorder="1" applyAlignment="1">
      <alignment vertical="center" wrapText="1"/>
    </xf>
    <xf numFmtId="0" fontId="0" fillId="10" borderId="1" xfId="0" applyFill="1" applyBorder="1" applyAlignment="1">
      <alignment vertical="center" wrapText="1"/>
    </xf>
    <xf numFmtId="0" fontId="0" fillId="0" borderId="1" xfId="0" applyFont="1" applyFill="1" applyBorder="1" applyAlignment="1">
      <alignment vertical="center" wrapText="1"/>
    </xf>
    <xf numFmtId="0" fontId="11" fillId="0" borderId="1" xfId="0" applyFont="1" applyBorder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7" fillId="0" borderId="1" xfId="0" applyFont="1" applyBorder="1"/>
    <xf numFmtId="0" fontId="7" fillId="6" borderId="1" xfId="0" applyFont="1" applyFill="1" applyBorder="1"/>
    <xf numFmtId="0" fontId="1" fillId="0" borderId="1" xfId="0" applyFont="1" applyBorder="1" applyAlignment="1">
      <alignment horizontal="center" vertical="center" wrapText="1"/>
    </xf>
    <xf numFmtId="0" fontId="0" fillId="0" borderId="1" xfId="0" quotePrefix="1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9" fontId="0" fillId="0" borderId="1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left" vertical="center" wrapText="1"/>
    </xf>
    <xf numFmtId="0" fontId="0" fillId="11" borderId="1" xfId="0" applyFill="1" applyBorder="1" applyAlignment="1">
      <alignment vertical="center" wrapText="1"/>
    </xf>
    <xf numFmtId="0" fontId="5" fillId="11" borderId="1" xfId="0" applyFont="1" applyFill="1" applyBorder="1" applyAlignment="1">
      <alignment vertical="center" wrapText="1"/>
    </xf>
    <xf numFmtId="0" fontId="5" fillId="11" borderId="4" xfId="0" applyFont="1" applyFill="1" applyBorder="1" applyAlignment="1">
      <alignment vertical="center" wrapText="1"/>
    </xf>
    <xf numFmtId="0" fontId="0" fillId="11" borderId="3" xfId="0" applyFill="1" applyBorder="1" applyAlignment="1">
      <alignment vertical="center" wrapText="1"/>
    </xf>
    <xf numFmtId="0" fontId="12" fillId="0" borderId="1" xfId="0" applyFont="1" applyBorder="1" applyAlignment="1">
      <alignment vertical="center" wrapText="1"/>
    </xf>
    <xf numFmtId="0" fontId="0" fillId="0" borderId="1" xfId="0" applyBorder="1" applyAlignment="1">
      <alignment vertical="center"/>
    </xf>
    <xf numFmtId="0" fontId="5" fillId="2" borderId="1" xfId="0" applyFont="1" applyFill="1" applyBorder="1" applyAlignment="1">
      <alignment vertical="center" wrapText="1"/>
    </xf>
    <xf numFmtId="0" fontId="13" fillId="12" borderId="1" xfId="0" applyFont="1" applyFill="1" applyBorder="1" applyAlignment="1">
      <alignment vertical="center" wrapText="1"/>
    </xf>
    <xf numFmtId="0" fontId="12" fillId="12" borderId="1" xfId="0" applyFont="1" applyFill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0" fontId="14" fillId="0" borderId="1" xfId="3" applyBorder="1"/>
    <xf numFmtId="0" fontId="2" fillId="9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14" fontId="0" fillId="0" borderId="1" xfId="0" quotePrefix="1" applyNumberFormat="1" applyBorder="1" applyAlignment="1">
      <alignment vertical="center" wrapText="1"/>
    </xf>
    <xf numFmtId="0" fontId="15" fillId="0" borderId="1" xfId="0" applyFont="1" applyBorder="1"/>
    <xf numFmtId="0" fontId="17" fillId="0" borderId="1" xfId="0" applyFont="1" applyBorder="1"/>
    <xf numFmtId="0" fontId="18" fillId="8" borderId="1" xfId="0" applyFont="1" applyFill="1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>
      <alignment wrapText="1"/>
    </xf>
    <xf numFmtId="0" fontId="1" fillId="0" borderId="0" xfId="0" applyFont="1"/>
    <xf numFmtId="0" fontId="7" fillId="0" borderId="1" xfId="0" applyFont="1" applyFill="1" applyBorder="1"/>
    <xf numFmtId="0" fontId="7" fillId="0" borderId="0" xfId="0" applyFont="1" applyFill="1" applyBorder="1"/>
    <xf numFmtId="0" fontId="2" fillId="3" borderId="3" xfId="0" applyFont="1" applyFill="1" applyBorder="1" applyAlignment="1">
      <alignment horizontal="center" vertical="center" wrapText="1"/>
    </xf>
    <xf numFmtId="0" fontId="1" fillId="13" borderId="0" xfId="0" applyFont="1" applyFill="1" applyAlignment="1">
      <alignment horizontal="center" vertical="center" wrapText="1"/>
    </xf>
    <xf numFmtId="0" fontId="0" fillId="13" borderId="0" xfId="0" applyFill="1"/>
    <xf numFmtId="0" fontId="2" fillId="5" borderId="1" xfId="0" applyFont="1" applyFill="1" applyBorder="1" applyAlignment="1">
      <alignment horizontal="center" vertical="center" wrapText="1"/>
    </xf>
    <xf numFmtId="0" fontId="7" fillId="0" borderId="1" xfId="0" quotePrefix="1" applyFont="1" applyBorder="1" applyAlignment="1">
      <alignment vertical="center" wrapText="1"/>
    </xf>
    <xf numFmtId="0" fontId="17" fillId="14" borderId="1" xfId="0" applyFont="1" applyFill="1" applyBorder="1"/>
    <xf numFmtId="0" fontId="16" fillId="14" borderId="0" xfId="0" applyFont="1" applyFill="1" applyAlignment="1">
      <alignment vertical="center" wrapText="1"/>
    </xf>
    <xf numFmtId="0" fontId="7" fillId="2" borderId="1" xfId="0" applyFont="1" applyFill="1" applyBorder="1" applyAlignment="1">
      <alignment vertical="center" wrapText="1"/>
    </xf>
    <xf numFmtId="0" fontId="7" fillId="0" borderId="1" xfId="0" applyFont="1" applyBorder="1" applyAlignment="1">
      <alignment horizontal="left" vertical="center" wrapText="1"/>
    </xf>
    <xf numFmtId="0" fontId="7" fillId="0" borderId="1" xfId="0" quotePrefix="1" applyFont="1" applyBorder="1" applyAlignment="1">
      <alignment horizontal="left" vertical="center" wrapText="1"/>
    </xf>
    <xf numFmtId="0" fontId="4" fillId="0" borderId="0" xfId="4" applyFont="1" applyAlignment="1">
      <alignment vertical="center"/>
    </xf>
    <xf numFmtId="0" fontId="4" fillId="0" borderId="1" xfId="4" applyFont="1" applyBorder="1" applyAlignment="1">
      <alignment vertical="center"/>
    </xf>
    <xf numFmtId="0" fontId="7" fillId="0" borderId="0" xfId="4" applyAlignment="1">
      <alignment vertical="center"/>
    </xf>
    <xf numFmtId="0" fontId="7" fillId="0" borderId="1" xfId="4" applyBorder="1" applyAlignment="1">
      <alignment vertical="center"/>
    </xf>
    <xf numFmtId="0" fontId="1" fillId="2" borderId="0" xfId="4" applyFont="1" applyFill="1" applyAlignment="1">
      <alignment vertical="center"/>
    </xf>
    <xf numFmtId="0" fontId="1" fillId="0" borderId="0" xfId="4" applyFont="1" applyAlignment="1">
      <alignment horizontal="left" vertical="center"/>
    </xf>
    <xf numFmtId="0" fontId="19" fillId="15" borderId="1" xfId="4" applyFont="1" applyFill="1" applyBorder="1" applyAlignment="1">
      <alignment horizontal="center" vertical="center" wrapText="1"/>
    </xf>
    <xf numFmtId="0" fontId="19" fillId="15" borderId="2" xfId="4" applyFont="1" applyFill="1" applyBorder="1" applyAlignment="1">
      <alignment horizontal="center" vertical="center" wrapText="1"/>
    </xf>
    <xf numFmtId="0" fontId="20" fillId="0" borderId="1" xfId="4" applyFont="1" applyBorder="1" applyAlignment="1">
      <alignment horizontal="center" vertical="center" wrapText="1"/>
    </xf>
    <xf numFmtId="0" fontId="14" fillId="0" borderId="1" xfId="3" applyBorder="1" applyAlignment="1">
      <alignment vertical="center" wrapText="1"/>
    </xf>
    <xf numFmtId="0" fontId="14" fillId="0" borderId="2" xfId="3" applyBorder="1" applyAlignment="1">
      <alignment vertical="center" wrapText="1"/>
    </xf>
    <xf numFmtId="0" fontId="20" fillId="0" borderId="2" xfId="4" applyFont="1" applyBorder="1" applyAlignment="1">
      <alignment vertical="center" wrapText="1"/>
    </xf>
    <xf numFmtId="0" fontId="20" fillId="0" borderId="1" xfId="4" applyFont="1" applyBorder="1" applyAlignment="1">
      <alignment vertical="center" wrapText="1"/>
    </xf>
    <xf numFmtId="0" fontId="7" fillId="0" borderId="3" xfId="4" applyBorder="1" applyAlignment="1">
      <alignment vertical="center"/>
    </xf>
    <xf numFmtId="0" fontId="7" fillId="0" borderId="0" xfId="4" applyBorder="1" applyAlignment="1">
      <alignment vertical="center"/>
    </xf>
    <xf numFmtId="0" fontId="0" fillId="0" borderId="1" xfId="0" applyFont="1" applyBorder="1" applyAlignment="1">
      <alignment vertical="center" wrapText="1"/>
    </xf>
    <xf numFmtId="0" fontId="0" fillId="16" borderId="1" xfId="0" applyFill="1" applyBorder="1" applyAlignment="1">
      <alignment vertical="center" wrapText="1"/>
    </xf>
    <xf numFmtId="0" fontId="7" fillId="17" borderId="1" xfId="4" applyFill="1" applyBorder="1" applyAlignment="1">
      <alignment vertical="center"/>
    </xf>
    <xf numFmtId="0" fontId="7" fillId="18" borderId="1" xfId="4" applyFill="1" applyBorder="1" applyAlignment="1">
      <alignment vertical="center"/>
    </xf>
    <xf numFmtId="0" fontId="2" fillId="5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14" fillId="0" borderId="1" xfId="3" quotePrefix="1" applyBorder="1" applyAlignment="1">
      <alignment horizontal="left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7" fillId="0" borderId="0" xfId="0" applyFont="1"/>
    <xf numFmtId="0" fontId="0" fillId="0" borderId="0" xfId="0" applyBorder="1" applyAlignment="1">
      <alignment vertical="center" wrapText="1"/>
    </xf>
    <xf numFmtId="0" fontId="7" fillId="0" borderId="5" xfId="0" applyFont="1" applyFill="1" applyBorder="1" applyAlignment="1">
      <alignment vertical="center" wrapText="1"/>
    </xf>
    <xf numFmtId="0" fontId="0" fillId="0" borderId="0" xfId="0" applyBorder="1" applyAlignment="1">
      <alignment horizontal="center" vertical="center" wrapText="1"/>
    </xf>
    <xf numFmtId="176" fontId="7" fillId="0" borderId="1" xfId="0" applyNumberFormat="1" applyFont="1" applyBorder="1" applyAlignment="1">
      <alignment vertical="center" wrapText="1"/>
    </xf>
    <xf numFmtId="176" fontId="7" fillId="0" borderId="5" xfId="0" applyNumberFormat="1" applyFont="1" applyBorder="1" applyAlignment="1">
      <alignment vertical="center" wrapText="1"/>
    </xf>
    <xf numFmtId="176" fontId="7" fillId="0" borderId="5" xfId="0" applyNumberFormat="1" applyFont="1" applyFill="1" applyBorder="1" applyAlignment="1">
      <alignment vertical="center" wrapText="1"/>
    </xf>
    <xf numFmtId="0" fontId="7" fillId="0" borderId="0" xfId="0" applyFont="1" applyBorder="1" applyAlignment="1">
      <alignment vertical="center" wrapText="1"/>
    </xf>
    <xf numFmtId="0" fontId="24" fillId="0" borderId="0" xfId="0" applyFont="1"/>
    <xf numFmtId="0" fontId="2" fillId="5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14" fillId="0" borderId="0" xfId="3" applyAlignment="1">
      <alignment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2" fillId="9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2" fillId="4" borderId="5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5" borderId="6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7" fillId="0" borderId="1" xfId="0" applyNumberFormat="1" applyFont="1" applyBorder="1" applyAlignment="1">
      <alignment vertical="center" wrapText="1"/>
    </xf>
    <xf numFmtId="0" fontId="7" fillId="0" borderId="7" xfId="0" applyFont="1" applyBorder="1" applyAlignment="1">
      <alignment vertical="center" wrapText="1"/>
    </xf>
    <xf numFmtId="0" fontId="7" fillId="0" borderId="1" xfId="0" applyFont="1" applyFill="1" applyBorder="1" applyAlignment="1">
      <alignment vertical="center" wrapText="1"/>
    </xf>
  </cellXfs>
  <cellStyles count="5">
    <cellStyle name="常规" xfId="0" builtinId="0"/>
    <cellStyle name="常规 2" xfId="1"/>
    <cellStyle name="常规 3" xfId="4"/>
    <cellStyle name="超链接" xfId="3" builtinId="8"/>
    <cellStyle name="超链接 2" xfId="2"/>
  </cellStyles>
  <dxfs count="101"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</dxfs>
  <tableStyles count="0" defaultTableStyle="TableStyleMedium2" defaultPivotStyle="PivotStyleMedium9"/>
  <colors>
    <mruColors>
      <color rgb="FFFFFF99"/>
      <color rgb="FFFFFF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&#24635;&#34920;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&#24635;&#34920;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&#24635;&#34920;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260350</xdr:colOff>
          <xdr:row>0</xdr:row>
          <xdr:rowOff>374650</xdr:rowOff>
        </xdr:from>
        <xdr:to>
          <xdr:col>1</xdr:col>
          <xdr:colOff>717550</xdr:colOff>
          <xdr:row>2</xdr:row>
          <xdr:rowOff>107950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导入场景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1098550</xdr:colOff>
          <xdr:row>0</xdr:row>
          <xdr:rowOff>361950</xdr:rowOff>
        </xdr:from>
        <xdr:to>
          <xdr:col>1</xdr:col>
          <xdr:colOff>2438400</xdr:colOff>
          <xdr:row>2</xdr:row>
          <xdr:rowOff>114300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生成页面元素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869950</xdr:colOff>
          <xdr:row>0</xdr:row>
          <xdr:rowOff>374650</xdr:rowOff>
        </xdr:from>
        <xdr:to>
          <xdr:col>2</xdr:col>
          <xdr:colOff>2209800</xdr:colOff>
          <xdr:row>2</xdr:row>
          <xdr:rowOff>127000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生成场景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2755900</xdr:colOff>
          <xdr:row>0</xdr:row>
          <xdr:rowOff>374650</xdr:rowOff>
        </xdr:from>
        <xdr:to>
          <xdr:col>2</xdr:col>
          <xdr:colOff>412750</xdr:colOff>
          <xdr:row>2</xdr:row>
          <xdr:rowOff>114300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生成用例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565150</xdr:colOff>
          <xdr:row>0</xdr:row>
          <xdr:rowOff>50800</xdr:rowOff>
        </xdr:from>
        <xdr:to>
          <xdr:col>0</xdr:col>
          <xdr:colOff>1955800</xdr:colOff>
          <xdr:row>0</xdr:row>
          <xdr:rowOff>552450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生成页面元素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88900</xdr:rowOff>
        </xdr:from>
        <xdr:to>
          <xdr:col>1</xdr:col>
          <xdr:colOff>0</xdr:colOff>
          <xdr:row>0</xdr:row>
          <xdr:rowOff>552450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生成公共用例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74083</xdr:colOff>
      <xdr:row>0</xdr:row>
      <xdr:rowOff>74083</xdr:rowOff>
    </xdr:from>
    <xdr:to>
      <xdr:col>2</xdr:col>
      <xdr:colOff>314388</xdr:colOff>
      <xdr:row>0</xdr:row>
      <xdr:rowOff>544730</xdr:rowOff>
    </xdr:to>
    <xdr:sp macro="" textlink="">
      <xdr:nvSpPr>
        <xdr:cNvPr id="2" name="圆角矩形 1">
          <a:hlinkClick xmlns:r="http://schemas.openxmlformats.org/officeDocument/2006/relationships" r:id="rId1"/>
        </xdr:cNvPr>
        <xdr:cNvSpPr/>
      </xdr:nvSpPr>
      <xdr:spPr>
        <a:xfrm>
          <a:off x="702733" y="74083"/>
          <a:ext cx="1542055" cy="305547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000">
              <a:latin typeface="微软雅黑" panose="020B0503020204020204" pitchFamily="34" charset="-122"/>
              <a:ea typeface="微软雅黑" panose="020B0503020204020204" pitchFamily="34" charset="-122"/>
            </a:rPr>
            <a:t>返回总表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74083</xdr:colOff>
      <xdr:row>0</xdr:row>
      <xdr:rowOff>74083</xdr:rowOff>
    </xdr:from>
    <xdr:to>
      <xdr:col>2</xdr:col>
      <xdr:colOff>314388</xdr:colOff>
      <xdr:row>0</xdr:row>
      <xdr:rowOff>544730</xdr:rowOff>
    </xdr:to>
    <xdr:sp macro="" textlink="">
      <xdr:nvSpPr>
        <xdr:cNvPr id="2" name="圆角矩形 1">
          <a:hlinkClick xmlns:r="http://schemas.openxmlformats.org/officeDocument/2006/relationships" r:id="rId1"/>
        </xdr:cNvPr>
        <xdr:cNvSpPr/>
      </xdr:nvSpPr>
      <xdr:spPr>
        <a:xfrm>
          <a:off x="702733" y="74083"/>
          <a:ext cx="1542055" cy="305547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000">
              <a:latin typeface="微软雅黑" panose="020B0503020204020204" pitchFamily="34" charset="-122"/>
              <a:ea typeface="微软雅黑" panose="020B0503020204020204" pitchFamily="34" charset="-122"/>
            </a:rPr>
            <a:t>返回总表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74083</xdr:colOff>
      <xdr:row>0</xdr:row>
      <xdr:rowOff>74083</xdr:rowOff>
    </xdr:from>
    <xdr:to>
      <xdr:col>2</xdr:col>
      <xdr:colOff>314388</xdr:colOff>
      <xdr:row>0</xdr:row>
      <xdr:rowOff>544730</xdr:rowOff>
    </xdr:to>
    <xdr:sp macro="" textlink="">
      <xdr:nvSpPr>
        <xdr:cNvPr id="2" name="圆角矩形 1">
          <a:hlinkClick xmlns:r="http://schemas.openxmlformats.org/officeDocument/2006/relationships" r:id="rId1"/>
        </xdr:cNvPr>
        <xdr:cNvSpPr/>
      </xdr:nvSpPr>
      <xdr:spPr>
        <a:xfrm>
          <a:off x="702733" y="74083"/>
          <a:ext cx="1542055" cy="305547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000">
              <a:latin typeface="微软雅黑" panose="020B0503020204020204" pitchFamily="34" charset="-122"/>
              <a:ea typeface="微软雅黑" panose="020B0503020204020204" pitchFamily="34" charset="-122"/>
            </a:rPr>
            <a:t>返回总表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10.16.85.47/s/cmShop/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://ittmp.midea.com/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://10.16.73.230:8082/index" TargetMode="External"/><Relationship Id="rId13" Type="http://schemas.openxmlformats.org/officeDocument/2006/relationships/drawing" Target="../drawings/drawing5.xml"/><Relationship Id="rId3" Type="http://schemas.openxmlformats.org/officeDocument/2006/relationships/hyperlink" Target="http://10.16.73.230:8082/index" TargetMode="External"/><Relationship Id="rId7" Type="http://schemas.openxmlformats.org/officeDocument/2006/relationships/hyperlink" Target="http://10.16.73.230:8082/index" TargetMode="External"/><Relationship Id="rId12" Type="http://schemas.openxmlformats.org/officeDocument/2006/relationships/hyperlink" Target="http://10.16.73.230:8082/index" TargetMode="External"/><Relationship Id="rId2" Type="http://schemas.openxmlformats.org/officeDocument/2006/relationships/hyperlink" Target="http://10.16.73.230:8082/index" TargetMode="External"/><Relationship Id="rId1" Type="http://schemas.openxmlformats.org/officeDocument/2006/relationships/hyperlink" Target="http://10.16.73.230:8082/login" TargetMode="External"/><Relationship Id="rId6" Type="http://schemas.openxmlformats.org/officeDocument/2006/relationships/hyperlink" Target="http://10.16.73.230:8082/index" TargetMode="External"/><Relationship Id="rId11" Type="http://schemas.openxmlformats.org/officeDocument/2006/relationships/hyperlink" Target="http://10.16.73.230:8082/index" TargetMode="External"/><Relationship Id="rId5" Type="http://schemas.openxmlformats.org/officeDocument/2006/relationships/hyperlink" Target="http://10.16.73.230:8082/index" TargetMode="External"/><Relationship Id="rId10" Type="http://schemas.openxmlformats.org/officeDocument/2006/relationships/hyperlink" Target="http://10.16.73.230:8082/index" TargetMode="External"/><Relationship Id="rId4" Type="http://schemas.openxmlformats.org/officeDocument/2006/relationships/hyperlink" Target="http://10.16.73.230:8082/index" TargetMode="External"/><Relationship Id="rId9" Type="http://schemas.openxmlformats.org/officeDocument/2006/relationships/hyperlink" Target="http://10.16.73.230:8082/index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://10.16.73.230:8082/index" TargetMode="External"/><Relationship Id="rId13" Type="http://schemas.openxmlformats.org/officeDocument/2006/relationships/hyperlink" Target="http://10.16.73.230:8082/index" TargetMode="External"/><Relationship Id="rId3" Type="http://schemas.openxmlformats.org/officeDocument/2006/relationships/hyperlink" Target="http://10.16.73.230:8082/index" TargetMode="External"/><Relationship Id="rId7" Type="http://schemas.openxmlformats.org/officeDocument/2006/relationships/hyperlink" Target="http://10.16.73.230:8082/index" TargetMode="External"/><Relationship Id="rId12" Type="http://schemas.openxmlformats.org/officeDocument/2006/relationships/hyperlink" Target="http://10.16.100.168:8084/flowList/BE1" TargetMode="External"/><Relationship Id="rId2" Type="http://schemas.openxmlformats.org/officeDocument/2006/relationships/hyperlink" Target="http://10.16.73.230:8082/index" TargetMode="External"/><Relationship Id="rId16" Type="http://schemas.openxmlformats.org/officeDocument/2006/relationships/drawing" Target="../drawings/drawing6.xml"/><Relationship Id="rId1" Type="http://schemas.openxmlformats.org/officeDocument/2006/relationships/hyperlink" Target="http://10.16.73.230:8082/login" TargetMode="External"/><Relationship Id="rId6" Type="http://schemas.openxmlformats.org/officeDocument/2006/relationships/hyperlink" Target="http://10.16.73.230:8082/index" TargetMode="External"/><Relationship Id="rId11" Type="http://schemas.openxmlformats.org/officeDocument/2006/relationships/hyperlink" Target="http://10.16.73.230:8082/index" TargetMode="External"/><Relationship Id="rId5" Type="http://schemas.openxmlformats.org/officeDocument/2006/relationships/hyperlink" Target="http://10.16.73.230:8082/index" TargetMode="External"/><Relationship Id="rId15" Type="http://schemas.openxmlformats.org/officeDocument/2006/relationships/printerSettings" Target="../printerSettings/printerSettings6.bin"/><Relationship Id="rId10" Type="http://schemas.openxmlformats.org/officeDocument/2006/relationships/hyperlink" Target="http://10.16.73.230:8082/index" TargetMode="External"/><Relationship Id="rId4" Type="http://schemas.openxmlformats.org/officeDocument/2006/relationships/hyperlink" Target="http://10.16.73.230:8082/index" TargetMode="External"/><Relationship Id="rId9" Type="http://schemas.openxmlformats.org/officeDocument/2006/relationships/hyperlink" Target="http://10.16.73.230:8082/index" TargetMode="External"/><Relationship Id="rId14" Type="http://schemas.openxmlformats.org/officeDocument/2006/relationships/hyperlink" Target="http://10.16.73.230:8082/inde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rgb="FFC00000"/>
  </sheetPr>
  <dimension ref="A1:D1505"/>
  <sheetViews>
    <sheetView workbookViewId="0">
      <selection activeCell="C1" sqref="C1"/>
    </sheetView>
  </sheetViews>
  <sheetFormatPr defaultColWidth="9" defaultRowHeight="14" x14ac:dyDescent="0.25"/>
  <cols>
    <col min="1" max="1" width="8.7265625" style="81" customWidth="1"/>
    <col min="2" max="2" width="44" style="81" customWidth="1"/>
    <col min="3" max="3" width="44.08984375" style="81" customWidth="1"/>
    <col min="4" max="4" width="41.90625" style="81" customWidth="1"/>
    <col min="5" max="16384" width="9" style="81"/>
  </cols>
  <sheetData>
    <row r="1" spans="1:4" s="67" customFormat="1" ht="30" customHeight="1" x14ac:dyDescent="0.25">
      <c r="A1" s="67" t="s">
        <v>535</v>
      </c>
      <c r="D1" s="68"/>
    </row>
    <row r="2" spans="1:4" s="69" customFormat="1" ht="15.75" customHeight="1" x14ac:dyDescent="0.25">
      <c r="D2" s="70"/>
    </row>
    <row r="3" spans="1:4" s="69" customFormat="1" x14ac:dyDescent="0.25">
      <c r="D3" s="70"/>
    </row>
    <row r="4" spans="1:4" s="69" customFormat="1" x14ac:dyDescent="0.25">
      <c r="A4" s="71" t="s">
        <v>536</v>
      </c>
      <c r="B4" s="72">
        <f>5+COUNTA(B6:B1000)</f>
        <v>8</v>
      </c>
      <c r="D4" s="70"/>
    </row>
    <row r="5" spans="1:4" s="69" customFormat="1" ht="16.5" x14ac:dyDescent="0.25">
      <c r="A5" s="73" t="s">
        <v>537</v>
      </c>
      <c r="B5" s="73" t="s">
        <v>538</v>
      </c>
      <c r="C5" s="74" t="s">
        <v>539</v>
      </c>
      <c r="D5" s="74" t="s">
        <v>540</v>
      </c>
    </row>
    <row r="6" spans="1:4" s="69" customFormat="1" ht="16.5" x14ac:dyDescent="0.25">
      <c r="A6" s="75">
        <v>1</v>
      </c>
      <c r="B6" s="76" t="str">
        <f>HYPERLINK("#TestDemo1!A1","TestDemo1")</f>
        <v>TestDemo1</v>
      </c>
      <c r="C6" s="77"/>
      <c r="D6" s="85" t="str">
        <f>IF(B6&lt;&gt;"","&lt;file&gt;src\"&amp;B6&amp;".xml&lt;/file&gt;","")</f>
        <v>&lt;file&gt;src\TestDemo1.xml&lt;/file&gt;</v>
      </c>
    </row>
    <row r="7" spans="1:4" s="69" customFormat="1" ht="16.5" x14ac:dyDescent="0.25">
      <c r="A7" s="75">
        <v>2</v>
      </c>
      <c r="B7" s="76" t="str">
        <f>HYPERLINK("#test!A1","test")</f>
        <v>test</v>
      </c>
      <c r="C7" s="78"/>
      <c r="D7" s="85" t="str">
        <f t="shared" ref="D7:D70" si="0">IF(B7&lt;&gt;"","&lt;file&gt;src\"&amp;B7&amp;".xml&lt;/file&gt;","")</f>
        <v>&lt;file&gt;src\test.xml&lt;/file&gt;</v>
      </c>
    </row>
    <row r="8" spans="1:4" s="69" customFormat="1" ht="16.5" x14ac:dyDescent="0.25">
      <c r="A8" s="75">
        <v>3</v>
      </c>
      <c r="B8" s="76" t="str">
        <f>HYPERLINK("#GPM!A1","GPM")</f>
        <v>GPM</v>
      </c>
      <c r="C8" s="78"/>
      <c r="D8" s="85" t="str">
        <f t="shared" si="0"/>
        <v>&lt;file&gt;src\GPM.xml&lt;/file&gt;</v>
      </c>
    </row>
    <row r="9" spans="1:4" s="69" customFormat="1" ht="16.5" x14ac:dyDescent="0.25">
      <c r="A9" s="75">
        <v>4</v>
      </c>
      <c r="B9" s="76"/>
      <c r="C9" s="78"/>
      <c r="D9" s="85" t="str">
        <f t="shared" si="0"/>
        <v/>
      </c>
    </row>
    <row r="10" spans="1:4" s="69" customFormat="1" ht="16.5" x14ac:dyDescent="0.25">
      <c r="A10" s="75">
        <v>5</v>
      </c>
      <c r="B10" s="76"/>
      <c r="C10" s="78"/>
      <c r="D10" s="85" t="str">
        <f t="shared" si="0"/>
        <v/>
      </c>
    </row>
    <row r="11" spans="1:4" s="69" customFormat="1" ht="16.5" x14ac:dyDescent="0.25">
      <c r="A11" s="75">
        <v>6</v>
      </c>
      <c r="B11" s="76"/>
      <c r="C11" s="78"/>
      <c r="D11" s="85" t="str">
        <f t="shared" si="0"/>
        <v/>
      </c>
    </row>
    <row r="12" spans="1:4" s="69" customFormat="1" ht="16.5" x14ac:dyDescent="0.25">
      <c r="A12" s="75">
        <v>7</v>
      </c>
      <c r="B12" s="76"/>
      <c r="C12" s="78"/>
      <c r="D12" s="85" t="str">
        <f t="shared" si="0"/>
        <v/>
      </c>
    </row>
    <row r="13" spans="1:4" s="69" customFormat="1" ht="16.5" x14ac:dyDescent="0.25">
      <c r="A13" s="75">
        <v>8</v>
      </c>
      <c r="B13" s="76"/>
      <c r="C13" s="78"/>
      <c r="D13" s="85" t="str">
        <f t="shared" si="0"/>
        <v/>
      </c>
    </row>
    <row r="14" spans="1:4" s="69" customFormat="1" ht="16.5" x14ac:dyDescent="0.25">
      <c r="A14" s="75">
        <v>9</v>
      </c>
      <c r="B14" s="76"/>
      <c r="C14" s="78"/>
      <c r="D14" s="85" t="str">
        <f t="shared" si="0"/>
        <v/>
      </c>
    </row>
    <row r="15" spans="1:4" s="69" customFormat="1" ht="16.5" x14ac:dyDescent="0.25">
      <c r="A15" s="75">
        <v>10</v>
      </c>
      <c r="B15" s="76"/>
      <c r="C15" s="78"/>
      <c r="D15" s="85" t="str">
        <f t="shared" si="0"/>
        <v/>
      </c>
    </row>
    <row r="16" spans="1:4" s="69" customFormat="1" ht="16.5" x14ac:dyDescent="0.25">
      <c r="A16" s="75">
        <v>11</v>
      </c>
      <c r="B16" s="76"/>
      <c r="C16" s="78"/>
      <c r="D16" s="85" t="str">
        <f t="shared" si="0"/>
        <v/>
      </c>
    </row>
    <row r="17" spans="1:4" s="69" customFormat="1" ht="16.5" x14ac:dyDescent="0.25">
      <c r="A17" s="75">
        <v>12</v>
      </c>
      <c r="B17" s="76"/>
      <c r="C17" s="78"/>
      <c r="D17" s="85" t="str">
        <f t="shared" si="0"/>
        <v/>
      </c>
    </row>
    <row r="18" spans="1:4" s="69" customFormat="1" ht="16.5" x14ac:dyDescent="0.25">
      <c r="A18" s="75">
        <v>13</v>
      </c>
      <c r="B18" s="76"/>
      <c r="C18" s="78"/>
      <c r="D18" s="85" t="str">
        <f t="shared" si="0"/>
        <v/>
      </c>
    </row>
    <row r="19" spans="1:4" s="69" customFormat="1" ht="16.5" x14ac:dyDescent="0.25">
      <c r="A19" s="75">
        <v>14</v>
      </c>
      <c r="B19" s="76"/>
      <c r="C19" s="78"/>
      <c r="D19" s="85" t="str">
        <f t="shared" si="0"/>
        <v/>
      </c>
    </row>
    <row r="20" spans="1:4" s="69" customFormat="1" ht="16.5" x14ac:dyDescent="0.25">
      <c r="A20" s="75">
        <v>15</v>
      </c>
      <c r="B20" s="76"/>
      <c r="C20" s="78"/>
      <c r="D20" s="85" t="str">
        <f t="shared" si="0"/>
        <v/>
      </c>
    </row>
    <row r="21" spans="1:4" s="69" customFormat="1" ht="16.5" x14ac:dyDescent="0.25">
      <c r="A21" s="75">
        <v>16</v>
      </c>
      <c r="B21" s="76"/>
      <c r="C21" s="78"/>
      <c r="D21" s="85" t="str">
        <f t="shared" si="0"/>
        <v/>
      </c>
    </row>
    <row r="22" spans="1:4" s="69" customFormat="1" ht="16.5" x14ac:dyDescent="0.25">
      <c r="A22" s="75">
        <v>17</v>
      </c>
      <c r="B22" s="76"/>
      <c r="C22" s="78"/>
      <c r="D22" s="85" t="str">
        <f t="shared" si="0"/>
        <v/>
      </c>
    </row>
    <row r="23" spans="1:4" s="69" customFormat="1" ht="16.5" x14ac:dyDescent="0.25">
      <c r="A23" s="75">
        <v>18</v>
      </c>
      <c r="B23" s="76"/>
      <c r="C23" s="78"/>
      <c r="D23" s="85" t="str">
        <f t="shared" si="0"/>
        <v/>
      </c>
    </row>
    <row r="24" spans="1:4" s="69" customFormat="1" ht="16.5" x14ac:dyDescent="0.25">
      <c r="A24" s="75">
        <v>19</v>
      </c>
      <c r="B24" s="76"/>
      <c r="C24" s="78"/>
      <c r="D24" s="85" t="str">
        <f t="shared" si="0"/>
        <v/>
      </c>
    </row>
    <row r="25" spans="1:4" s="69" customFormat="1" ht="16.5" x14ac:dyDescent="0.25">
      <c r="A25" s="75">
        <v>20</v>
      </c>
      <c r="B25" s="76"/>
      <c r="C25" s="78"/>
      <c r="D25" s="85" t="str">
        <f t="shared" si="0"/>
        <v/>
      </c>
    </row>
    <row r="26" spans="1:4" s="69" customFormat="1" ht="16.5" x14ac:dyDescent="0.25">
      <c r="A26" s="75">
        <v>21</v>
      </c>
      <c r="B26" s="76"/>
      <c r="C26" s="78"/>
      <c r="D26" s="85" t="str">
        <f t="shared" si="0"/>
        <v/>
      </c>
    </row>
    <row r="27" spans="1:4" s="69" customFormat="1" ht="16.5" x14ac:dyDescent="0.25">
      <c r="A27" s="75">
        <v>22</v>
      </c>
      <c r="B27" s="76"/>
      <c r="C27" s="78"/>
      <c r="D27" s="85" t="str">
        <f t="shared" si="0"/>
        <v/>
      </c>
    </row>
    <row r="28" spans="1:4" s="69" customFormat="1" ht="16.5" x14ac:dyDescent="0.25">
      <c r="A28" s="75">
        <v>23</v>
      </c>
      <c r="B28" s="76"/>
      <c r="C28" s="78"/>
      <c r="D28" s="85" t="str">
        <f t="shared" si="0"/>
        <v/>
      </c>
    </row>
    <row r="29" spans="1:4" s="69" customFormat="1" ht="16.5" x14ac:dyDescent="0.25">
      <c r="A29" s="75">
        <v>24</v>
      </c>
      <c r="B29" s="76"/>
      <c r="C29" s="78"/>
      <c r="D29" s="85" t="str">
        <f t="shared" si="0"/>
        <v/>
      </c>
    </row>
    <row r="30" spans="1:4" s="69" customFormat="1" ht="16.5" x14ac:dyDescent="0.25">
      <c r="A30" s="75">
        <v>25</v>
      </c>
      <c r="B30" s="76"/>
      <c r="C30" s="78"/>
      <c r="D30" s="85" t="str">
        <f t="shared" si="0"/>
        <v/>
      </c>
    </row>
    <row r="31" spans="1:4" s="69" customFormat="1" ht="16.5" x14ac:dyDescent="0.25">
      <c r="A31" s="75">
        <v>26</v>
      </c>
      <c r="B31" s="76"/>
      <c r="C31" s="78"/>
      <c r="D31" s="85" t="str">
        <f t="shared" si="0"/>
        <v/>
      </c>
    </row>
    <row r="32" spans="1:4" s="69" customFormat="1" ht="16.5" x14ac:dyDescent="0.25">
      <c r="A32" s="75">
        <v>27</v>
      </c>
      <c r="B32" s="76"/>
      <c r="C32" s="78"/>
      <c r="D32" s="85" t="str">
        <f t="shared" si="0"/>
        <v/>
      </c>
    </row>
    <row r="33" spans="1:4" s="69" customFormat="1" ht="16.5" x14ac:dyDescent="0.25">
      <c r="A33" s="75">
        <v>28</v>
      </c>
      <c r="B33" s="76"/>
      <c r="C33" s="78"/>
      <c r="D33" s="85" t="str">
        <f t="shared" si="0"/>
        <v/>
      </c>
    </row>
    <row r="34" spans="1:4" s="69" customFormat="1" ht="16.5" x14ac:dyDescent="0.25">
      <c r="A34" s="75">
        <v>29</v>
      </c>
      <c r="B34" s="76"/>
      <c r="C34" s="78"/>
      <c r="D34" s="85" t="str">
        <f t="shared" si="0"/>
        <v/>
      </c>
    </row>
    <row r="35" spans="1:4" s="69" customFormat="1" ht="16.5" x14ac:dyDescent="0.25">
      <c r="A35" s="75">
        <v>30</v>
      </c>
      <c r="B35" s="76"/>
      <c r="C35" s="78"/>
      <c r="D35" s="85" t="str">
        <f t="shared" si="0"/>
        <v/>
      </c>
    </row>
    <row r="36" spans="1:4" s="69" customFormat="1" ht="16.5" x14ac:dyDescent="0.25">
      <c r="A36" s="75">
        <v>31</v>
      </c>
      <c r="B36" s="76"/>
      <c r="C36" s="78"/>
      <c r="D36" s="85" t="str">
        <f t="shared" si="0"/>
        <v/>
      </c>
    </row>
    <row r="37" spans="1:4" s="69" customFormat="1" ht="16.5" x14ac:dyDescent="0.25">
      <c r="A37" s="75">
        <v>32</v>
      </c>
      <c r="B37" s="76"/>
      <c r="C37" s="78"/>
      <c r="D37" s="85" t="str">
        <f t="shared" si="0"/>
        <v/>
      </c>
    </row>
    <row r="38" spans="1:4" s="69" customFormat="1" ht="16.5" x14ac:dyDescent="0.25">
      <c r="A38" s="75">
        <v>33</v>
      </c>
      <c r="B38" s="76"/>
      <c r="C38" s="78"/>
      <c r="D38" s="85" t="str">
        <f t="shared" si="0"/>
        <v/>
      </c>
    </row>
    <row r="39" spans="1:4" s="69" customFormat="1" ht="16.5" x14ac:dyDescent="0.25">
      <c r="A39" s="75">
        <v>34</v>
      </c>
      <c r="B39" s="76"/>
      <c r="C39" s="78"/>
      <c r="D39" s="85" t="str">
        <f t="shared" si="0"/>
        <v/>
      </c>
    </row>
    <row r="40" spans="1:4" s="69" customFormat="1" ht="16.5" x14ac:dyDescent="0.25">
      <c r="A40" s="75">
        <v>35</v>
      </c>
      <c r="B40" s="76"/>
      <c r="C40" s="78"/>
      <c r="D40" s="85" t="str">
        <f t="shared" si="0"/>
        <v/>
      </c>
    </row>
    <row r="41" spans="1:4" s="69" customFormat="1" ht="16.5" x14ac:dyDescent="0.25">
      <c r="A41" s="75"/>
      <c r="B41" s="79"/>
      <c r="C41" s="78"/>
      <c r="D41" s="85" t="str">
        <f t="shared" si="0"/>
        <v/>
      </c>
    </row>
    <row r="42" spans="1:4" s="69" customFormat="1" ht="16.5" x14ac:dyDescent="0.25">
      <c r="A42" s="75"/>
      <c r="B42" s="79"/>
      <c r="C42" s="78"/>
      <c r="D42" s="85" t="str">
        <f t="shared" si="0"/>
        <v/>
      </c>
    </row>
    <row r="43" spans="1:4" s="69" customFormat="1" ht="16.5" x14ac:dyDescent="0.25">
      <c r="A43" s="75"/>
      <c r="B43" s="79"/>
      <c r="C43" s="78"/>
      <c r="D43" s="85" t="str">
        <f t="shared" si="0"/>
        <v/>
      </c>
    </row>
    <row r="44" spans="1:4" s="69" customFormat="1" ht="16.5" x14ac:dyDescent="0.25">
      <c r="A44" s="75"/>
      <c r="B44" s="79"/>
      <c r="C44" s="78"/>
      <c r="D44" s="85" t="str">
        <f t="shared" si="0"/>
        <v/>
      </c>
    </row>
    <row r="45" spans="1:4" s="69" customFormat="1" ht="16.5" x14ac:dyDescent="0.25">
      <c r="A45" s="75"/>
      <c r="B45" s="79"/>
      <c r="C45" s="78"/>
      <c r="D45" s="85" t="str">
        <f t="shared" si="0"/>
        <v/>
      </c>
    </row>
    <row r="46" spans="1:4" s="69" customFormat="1" ht="16.5" x14ac:dyDescent="0.25">
      <c r="A46" s="75"/>
      <c r="B46" s="79"/>
      <c r="C46" s="78"/>
      <c r="D46" s="85" t="str">
        <f t="shared" si="0"/>
        <v/>
      </c>
    </row>
    <row r="47" spans="1:4" s="69" customFormat="1" ht="16.5" x14ac:dyDescent="0.25">
      <c r="A47" s="75"/>
      <c r="B47" s="79"/>
      <c r="C47" s="78"/>
      <c r="D47" s="85" t="str">
        <f t="shared" si="0"/>
        <v/>
      </c>
    </row>
    <row r="48" spans="1:4" s="69" customFormat="1" ht="16.5" x14ac:dyDescent="0.25">
      <c r="A48" s="75"/>
      <c r="B48" s="79"/>
      <c r="C48" s="78"/>
      <c r="D48" s="85" t="str">
        <f t="shared" si="0"/>
        <v/>
      </c>
    </row>
    <row r="49" spans="1:4" s="69" customFormat="1" ht="16.5" x14ac:dyDescent="0.25">
      <c r="A49" s="75"/>
      <c r="B49" s="79"/>
      <c r="C49" s="78"/>
      <c r="D49" s="85" t="str">
        <f t="shared" si="0"/>
        <v/>
      </c>
    </row>
    <row r="50" spans="1:4" s="69" customFormat="1" ht="16.5" x14ac:dyDescent="0.25">
      <c r="A50" s="75"/>
      <c r="B50" s="79"/>
      <c r="C50" s="78"/>
      <c r="D50" s="85" t="str">
        <f t="shared" si="0"/>
        <v/>
      </c>
    </row>
    <row r="51" spans="1:4" s="69" customFormat="1" ht="16.5" x14ac:dyDescent="0.25">
      <c r="A51" s="75"/>
      <c r="B51" s="79"/>
      <c r="C51" s="78"/>
      <c r="D51" s="85" t="str">
        <f t="shared" si="0"/>
        <v/>
      </c>
    </row>
    <row r="52" spans="1:4" s="69" customFormat="1" ht="16.5" x14ac:dyDescent="0.25">
      <c r="A52" s="75"/>
      <c r="B52" s="79"/>
      <c r="C52" s="78"/>
      <c r="D52" s="85" t="str">
        <f t="shared" si="0"/>
        <v/>
      </c>
    </row>
    <row r="53" spans="1:4" s="69" customFormat="1" ht="16.5" x14ac:dyDescent="0.25">
      <c r="A53" s="75"/>
      <c r="B53" s="79"/>
      <c r="C53" s="78"/>
      <c r="D53" s="85" t="str">
        <f t="shared" si="0"/>
        <v/>
      </c>
    </row>
    <row r="54" spans="1:4" s="69" customFormat="1" ht="16.5" x14ac:dyDescent="0.25">
      <c r="A54" s="75"/>
      <c r="B54" s="79"/>
      <c r="C54" s="78"/>
      <c r="D54" s="85" t="str">
        <f t="shared" si="0"/>
        <v/>
      </c>
    </row>
    <row r="55" spans="1:4" s="69" customFormat="1" ht="16.5" x14ac:dyDescent="0.25">
      <c r="A55" s="75"/>
      <c r="B55" s="79"/>
      <c r="C55" s="78"/>
      <c r="D55" s="85" t="str">
        <f t="shared" si="0"/>
        <v/>
      </c>
    </row>
    <row r="56" spans="1:4" s="69" customFormat="1" ht="16.5" x14ac:dyDescent="0.25">
      <c r="A56" s="75"/>
      <c r="B56" s="79"/>
      <c r="C56" s="78"/>
      <c r="D56" s="85" t="str">
        <f t="shared" si="0"/>
        <v/>
      </c>
    </row>
    <row r="57" spans="1:4" s="69" customFormat="1" ht="16.5" x14ac:dyDescent="0.25">
      <c r="A57" s="75"/>
      <c r="B57" s="79"/>
      <c r="C57" s="78"/>
      <c r="D57" s="85" t="str">
        <f t="shared" si="0"/>
        <v/>
      </c>
    </row>
    <row r="58" spans="1:4" s="69" customFormat="1" ht="16.5" x14ac:dyDescent="0.25">
      <c r="A58" s="75"/>
      <c r="B58" s="79"/>
      <c r="C58" s="78"/>
      <c r="D58" s="85" t="str">
        <f t="shared" si="0"/>
        <v/>
      </c>
    </row>
    <row r="59" spans="1:4" s="69" customFormat="1" ht="16.5" x14ac:dyDescent="0.25">
      <c r="A59" s="75"/>
      <c r="B59" s="79"/>
      <c r="C59" s="78"/>
      <c r="D59" s="85" t="str">
        <f t="shared" si="0"/>
        <v/>
      </c>
    </row>
    <row r="60" spans="1:4" s="69" customFormat="1" ht="16.5" x14ac:dyDescent="0.25">
      <c r="A60" s="75"/>
      <c r="B60" s="79"/>
      <c r="C60" s="78"/>
      <c r="D60" s="85" t="str">
        <f t="shared" si="0"/>
        <v/>
      </c>
    </row>
    <row r="61" spans="1:4" s="69" customFormat="1" ht="16.5" x14ac:dyDescent="0.25">
      <c r="A61" s="75"/>
      <c r="B61" s="79"/>
      <c r="C61" s="78"/>
      <c r="D61" s="85" t="str">
        <f t="shared" si="0"/>
        <v/>
      </c>
    </row>
    <row r="62" spans="1:4" s="69" customFormat="1" ht="16.5" x14ac:dyDescent="0.25">
      <c r="A62" s="75"/>
      <c r="B62" s="79"/>
      <c r="C62" s="78"/>
      <c r="D62" s="85" t="str">
        <f t="shared" si="0"/>
        <v/>
      </c>
    </row>
    <row r="63" spans="1:4" s="69" customFormat="1" ht="16.5" x14ac:dyDescent="0.25">
      <c r="A63" s="75"/>
      <c r="B63" s="79"/>
      <c r="C63" s="78"/>
      <c r="D63" s="85" t="str">
        <f t="shared" si="0"/>
        <v/>
      </c>
    </row>
    <row r="64" spans="1:4" s="69" customFormat="1" ht="16.5" x14ac:dyDescent="0.25">
      <c r="A64" s="75"/>
      <c r="B64" s="79"/>
      <c r="C64" s="78"/>
      <c r="D64" s="85" t="str">
        <f t="shared" si="0"/>
        <v/>
      </c>
    </row>
    <row r="65" spans="1:4" s="69" customFormat="1" ht="16.5" x14ac:dyDescent="0.25">
      <c r="A65" s="75"/>
      <c r="B65" s="79"/>
      <c r="C65" s="78"/>
      <c r="D65" s="85" t="str">
        <f t="shared" si="0"/>
        <v/>
      </c>
    </row>
    <row r="66" spans="1:4" s="69" customFormat="1" ht="16.5" x14ac:dyDescent="0.25">
      <c r="A66" s="75"/>
      <c r="B66" s="79"/>
      <c r="C66" s="78"/>
      <c r="D66" s="85" t="str">
        <f t="shared" si="0"/>
        <v/>
      </c>
    </row>
    <row r="67" spans="1:4" s="69" customFormat="1" ht="16.5" x14ac:dyDescent="0.25">
      <c r="A67" s="75"/>
      <c r="B67" s="79"/>
      <c r="C67" s="78"/>
      <c r="D67" s="85" t="str">
        <f t="shared" si="0"/>
        <v/>
      </c>
    </row>
    <row r="68" spans="1:4" s="69" customFormat="1" ht="16.5" x14ac:dyDescent="0.25">
      <c r="A68" s="75"/>
      <c r="B68" s="79"/>
      <c r="C68" s="78"/>
      <c r="D68" s="85" t="str">
        <f t="shared" si="0"/>
        <v/>
      </c>
    </row>
    <row r="69" spans="1:4" s="69" customFormat="1" ht="16.5" x14ac:dyDescent="0.25">
      <c r="A69" s="75"/>
      <c r="B69" s="79"/>
      <c r="C69" s="78"/>
      <c r="D69" s="85" t="str">
        <f t="shared" si="0"/>
        <v/>
      </c>
    </row>
    <row r="70" spans="1:4" s="69" customFormat="1" ht="16.5" x14ac:dyDescent="0.25">
      <c r="A70" s="75"/>
      <c r="B70" s="79"/>
      <c r="C70" s="78"/>
      <c r="D70" s="85" t="str">
        <f t="shared" si="0"/>
        <v/>
      </c>
    </row>
    <row r="71" spans="1:4" s="69" customFormat="1" ht="16.5" x14ac:dyDescent="0.25">
      <c r="A71" s="75"/>
      <c r="B71" s="79"/>
      <c r="C71" s="78"/>
      <c r="D71" s="85" t="str">
        <f t="shared" ref="D71:D134" si="1">IF(B71&lt;&gt;"","&lt;file&gt;src\"&amp;B71&amp;".xml&lt;/file&gt;","")</f>
        <v/>
      </c>
    </row>
    <row r="72" spans="1:4" s="69" customFormat="1" ht="16.5" x14ac:dyDescent="0.25">
      <c r="A72" s="75"/>
      <c r="B72" s="79"/>
      <c r="C72" s="78"/>
      <c r="D72" s="85" t="str">
        <f t="shared" si="1"/>
        <v/>
      </c>
    </row>
    <row r="73" spans="1:4" s="69" customFormat="1" ht="16.5" x14ac:dyDescent="0.25">
      <c r="A73" s="75"/>
      <c r="B73" s="79"/>
      <c r="C73" s="78"/>
      <c r="D73" s="85" t="str">
        <f t="shared" si="1"/>
        <v/>
      </c>
    </row>
    <row r="74" spans="1:4" s="69" customFormat="1" ht="16.5" x14ac:dyDescent="0.25">
      <c r="A74" s="75"/>
      <c r="B74" s="79"/>
      <c r="C74" s="78"/>
      <c r="D74" s="85" t="str">
        <f t="shared" si="1"/>
        <v/>
      </c>
    </row>
    <row r="75" spans="1:4" s="69" customFormat="1" ht="16.5" x14ac:dyDescent="0.25">
      <c r="A75" s="75"/>
      <c r="B75" s="79"/>
      <c r="C75" s="78"/>
      <c r="D75" s="85" t="str">
        <f t="shared" si="1"/>
        <v/>
      </c>
    </row>
    <row r="76" spans="1:4" s="69" customFormat="1" ht="16.5" x14ac:dyDescent="0.25">
      <c r="A76" s="75"/>
      <c r="B76" s="79"/>
      <c r="C76" s="78"/>
      <c r="D76" s="85" t="str">
        <f t="shared" si="1"/>
        <v/>
      </c>
    </row>
    <row r="77" spans="1:4" s="69" customFormat="1" ht="16.5" x14ac:dyDescent="0.25">
      <c r="A77" s="75"/>
      <c r="B77" s="79"/>
      <c r="C77" s="78"/>
      <c r="D77" s="85" t="str">
        <f t="shared" si="1"/>
        <v/>
      </c>
    </row>
    <row r="78" spans="1:4" s="69" customFormat="1" ht="16.5" x14ac:dyDescent="0.25">
      <c r="A78" s="75"/>
      <c r="B78" s="79"/>
      <c r="C78" s="78"/>
      <c r="D78" s="85" t="str">
        <f t="shared" si="1"/>
        <v/>
      </c>
    </row>
    <row r="79" spans="1:4" s="69" customFormat="1" ht="16.5" x14ac:dyDescent="0.25">
      <c r="A79" s="75"/>
      <c r="B79" s="79"/>
      <c r="C79" s="78"/>
      <c r="D79" s="85" t="str">
        <f t="shared" si="1"/>
        <v/>
      </c>
    </row>
    <row r="80" spans="1:4" s="69" customFormat="1" ht="16.5" x14ac:dyDescent="0.25">
      <c r="A80" s="75"/>
      <c r="B80" s="79"/>
      <c r="C80" s="78"/>
      <c r="D80" s="85" t="str">
        <f t="shared" si="1"/>
        <v/>
      </c>
    </row>
    <row r="81" spans="1:4" s="69" customFormat="1" ht="16.5" x14ac:dyDescent="0.25">
      <c r="A81" s="75"/>
      <c r="B81" s="79"/>
      <c r="C81" s="78"/>
      <c r="D81" s="85" t="str">
        <f t="shared" si="1"/>
        <v/>
      </c>
    </row>
    <row r="82" spans="1:4" s="69" customFormat="1" ht="16.5" x14ac:dyDescent="0.25">
      <c r="A82" s="75"/>
      <c r="B82" s="79"/>
      <c r="C82" s="78"/>
      <c r="D82" s="85" t="str">
        <f t="shared" si="1"/>
        <v/>
      </c>
    </row>
    <row r="83" spans="1:4" s="69" customFormat="1" ht="16.5" x14ac:dyDescent="0.25">
      <c r="A83" s="75"/>
      <c r="B83" s="79"/>
      <c r="C83" s="78"/>
      <c r="D83" s="85" t="str">
        <f t="shared" si="1"/>
        <v/>
      </c>
    </row>
    <row r="84" spans="1:4" s="69" customFormat="1" ht="16.5" x14ac:dyDescent="0.25">
      <c r="A84" s="75"/>
      <c r="B84" s="79"/>
      <c r="C84" s="78"/>
      <c r="D84" s="85" t="str">
        <f t="shared" si="1"/>
        <v/>
      </c>
    </row>
    <row r="85" spans="1:4" s="69" customFormat="1" ht="16.5" x14ac:dyDescent="0.25">
      <c r="A85" s="75"/>
      <c r="B85" s="79"/>
      <c r="C85" s="78"/>
      <c r="D85" s="85" t="str">
        <f t="shared" si="1"/>
        <v/>
      </c>
    </row>
    <row r="86" spans="1:4" s="69" customFormat="1" ht="16.5" x14ac:dyDescent="0.25">
      <c r="A86" s="75"/>
      <c r="B86" s="79"/>
      <c r="C86" s="78"/>
      <c r="D86" s="85" t="str">
        <f t="shared" si="1"/>
        <v/>
      </c>
    </row>
    <row r="87" spans="1:4" s="69" customFormat="1" ht="16.5" x14ac:dyDescent="0.25">
      <c r="A87" s="75"/>
      <c r="B87" s="79"/>
      <c r="C87" s="78"/>
      <c r="D87" s="85" t="str">
        <f t="shared" si="1"/>
        <v/>
      </c>
    </row>
    <row r="88" spans="1:4" s="69" customFormat="1" ht="16.5" x14ac:dyDescent="0.25">
      <c r="A88" s="75"/>
      <c r="B88" s="79"/>
      <c r="C88" s="78"/>
      <c r="D88" s="85" t="str">
        <f t="shared" si="1"/>
        <v/>
      </c>
    </row>
    <row r="89" spans="1:4" s="69" customFormat="1" ht="16.5" x14ac:dyDescent="0.25">
      <c r="A89" s="75"/>
      <c r="B89" s="79"/>
      <c r="C89" s="78"/>
      <c r="D89" s="85" t="str">
        <f t="shared" si="1"/>
        <v/>
      </c>
    </row>
    <row r="90" spans="1:4" s="69" customFormat="1" ht="16.5" x14ac:dyDescent="0.25">
      <c r="A90" s="75"/>
      <c r="B90" s="79"/>
      <c r="C90" s="78"/>
      <c r="D90" s="85" t="str">
        <f t="shared" si="1"/>
        <v/>
      </c>
    </row>
    <row r="91" spans="1:4" s="69" customFormat="1" ht="16.5" x14ac:dyDescent="0.25">
      <c r="A91" s="75"/>
      <c r="B91" s="79"/>
      <c r="C91" s="78"/>
      <c r="D91" s="85" t="str">
        <f t="shared" si="1"/>
        <v/>
      </c>
    </row>
    <row r="92" spans="1:4" s="69" customFormat="1" ht="16.5" x14ac:dyDescent="0.25">
      <c r="A92" s="75"/>
      <c r="B92" s="79"/>
      <c r="C92" s="78"/>
      <c r="D92" s="85" t="str">
        <f t="shared" si="1"/>
        <v/>
      </c>
    </row>
    <row r="93" spans="1:4" s="69" customFormat="1" ht="16.5" x14ac:dyDescent="0.25">
      <c r="A93" s="75"/>
      <c r="B93" s="79"/>
      <c r="C93" s="78"/>
      <c r="D93" s="85" t="str">
        <f t="shared" si="1"/>
        <v/>
      </c>
    </row>
    <row r="94" spans="1:4" s="69" customFormat="1" ht="16.5" x14ac:dyDescent="0.25">
      <c r="A94" s="75"/>
      <c r="B94" s="79"/>
      <c r="C94" s="78"/>
      <c r="D94" s="85" t="str">
        <f t="shared" si="1"/>
        <v/>
      </c>
    </row>
    <row r="95" spans="1:4" s="69" customFormat="1" ht="16.5" x14ac:dyDescent="0.25">
      <c r="A95" s="75"/>
      <c r="B95" s="79"/>
      <c r="C95" s="78"/>
      <c r="D95" s="85" t="str">
        <f t="shared" si="1"/>
        <v/>
      </c>
    </row>
    <row r="96" spans="1:4" s="69" customFormat="1" ht="16.5" x14ac:dyDescent="0.25">
      <c r="A96" s="75"/>
      <c r="B96" s="79"/>
      <c r="C96" s="78"/>
      <c r="D96" s="85" t="str">
        <f t="shared" si="1"/>
        <v/>
      </c>
    </row>
    <row r="97" spans="1:4" s="69" customFormat="1" ht="16.5" x14ac:dyDescent="0.25">
      <c r="A97" s="75"/>
      <c r="B97" s="79"/>
      <c r="C97" s="78"/>
      <c r="D97" s="85" t="str">
        <f t="shared" si="1"/>
        <v/>
      </c>
    </row>
    <row r="98" spans="1:4" s="69" customFormat="1" ht="16.5" x14ac:dyDescent="0.25">
      <c r="A98" s="75"/>
      <c r="B98" s="79"/>
      <c r="C98" s="78"/>
      <c r="D98" s="85" t="str">
        <f t="shared" si="1"/>
        <v/>
      </c>
    </row>
    <row r="99" spans="1:4" s="69" customFormat="1" ht="16.5" x14ac:dyDescent="0.25">
      <c r="A99" s="75"/>
      <c r="B99" s="79"/>
      <c r="C99" s="78"/>
      <c r="D99" s="85" t="str">
        <f t="shared" si="1"/>
        <v/>
      </c>
    </row>
    <row r="100" spans="1:4" s="69" customFormat="1" ht="16.5" x14ac:dyDescent="0.25">
      <c r="A100" s="75"/>
      <c r="B100" s="79"/>
      <c r="C100" s="78"/>
      <c r="D100" s="85" t="str">
        <f t="shared" si="1"/>
        <v/>
      </c>
    </row>
    <row r="101" spans="1:4" s="69" customFormat="1" ht="16.5" x14ac:dyDescent="0.25">
      <c r="A101" s="75"/>
      <c r="B101" s="79"/>
      <c r="C101" s="78"/>
      <c r="D101" s="85" t="str">
        <f t="shared" si="1"/>
        <v/>
      </c>
    </row>
    <row r="102" spans="1:4" s="69" customFormat="1" ht="16.5" x14ac:dyDescent="0.25">
      <c r="A102" s="75"/>
      <c r="B102" s="79"/>
      <c r="C102" s="78"/>
      <c r="D102" s="85" t="str">
        <f t="shared" si="1"/>
        <v/>
      </c>
    </row>
    <row r="103" spans="1:4" s="69" customFormat="1" ht="16.5" x14ac:dyDescent="0.25">
      <c r="A103" s="75"/>
      <c r="B103" s="79"/>
      <c r="C103" s="78"/>
      <c r="D103" s="85" t="str">
        <f t="shared" si="1"/>
        <v/>
      </c>
    </row>
    <row r="104" spans="1:4" s="69" customFormat="1" ht="16.5" x14ac:dyDescent="0.25">
      <c r="A104" s="75"/>
      <c r="B104" s="79"/>
      <c r="C104" s="78"/>
      <c r="D104" s="85" t="str">
        <f t="shared" si="1"/>
        <v/>
      </c>
    </row>
    <row r="105" spans="1:4" s="69" customFormat="1" ht="16.5" x14ac:dyDescent="0.25">
      <c r="A105" s="75"/>
      <c r="B105" s="79"/>
      <c r="C105" s="78"/>
      <c r="D105" s="85" t="str">
        <f t="shared" si="1"/>
        <v/>
      </c>
    </row>
    <row r="106" spans="1:4" s="69" customFormat="1" ht="16.5" x14ac:dyDescent="0.25">
      <c r="A106" s="75"/>
      <c r="B106" s="79"/>
      <c r="C106" s="78"/>
      <c r="D106" s="85" t="str">
        <f t="shared" si="1"/>
        <v/>
      </c>
    </row>
    <row r="107" spans="1:4" s="69" customFormat="1" ht="16.5" x14ac:dyDescent="0.25">
      <c r="A107" s="75"/>
      <c r="B107" s="79"/>
      <c r="C107" s="78"/>
      <c r="D107" s="85" t="str">
        <f t="shared" si="1"/>
        <v/>
      </c>
    </row>
    <row r="108" spans="1:4" s="69" customFormat="1" ht="16.5" x14ac:dyDescent="0.25">
      <c r="A108" s="75"/>
      <c r="B108" s="79"/>
      <c r="C108" s="78"/>
      <c r="D108" s="85" t="str">
        <f t="shared" si="1"/>
        <v/>
      </c>
    </row>
    <row r="109" spans="1:4" s="69" customFormat="1" ht="16.5" x14ac:dyDescent="0.25">
      <c r="A109" s="75"/>
      <c r="B109" s="79"/>
      <c r="C109" s="78"/>
      <c r="D109" s="85" t="str">
        <f t="shared" si="1"/>
        <v/>
      </c>
    </row>
    <row r="110" spans="1:4" s="69" customFormat="1" ht="16.5" x14ac:dyDescent="0.25">
      <c r="A110" s="75"/>
      <c r="B110" s="79"/>
      <c r="C110" s="78"/>
      <c r="D110" s="85" t="str">
        <f t="shared" si="1"/>
        <v/>
      </c>
    </row>
    <row r="111" spans="1:4" s="69" customFormat="1" ht="16.5" x14ac:dyDescent="0.25">
      <c r="A111" s="75"/>
      <c r="B111" s="79"/>
      <c r="C111" s="78"/>
      <c r="D111" s="85" t="str">
        <f t="shared" si="1"/>
        <v/>
      </c>
    </row>
    <row r="112" spans="1:4" s="69" customFormat="1" ht="16.5" x14ac:dyDescent="0.25">
      <c r="A112" s="75"/>
      <c r="B112" s="79"/>
      <c r="C112" s="78"/>
      <c r="D112" s="85" t="str">
        <f t="shared" si="1"/>
        <v/>
      </c>
    </row>
    <row r="113" spans="1:4" s="69" customFormat="1" ht="16.5" x14ac:dyDescent="0.25">
      <c r="A113" s="75"/>
      <c r="B113" s="79"/>
      <c r="C113" s="78"/>
      <c r="D113" s="85" t="str">
        <f t="shared" si="1"/>
        <v/>
      </c>
    </row>
    <row r="114" spans="1:4" s="69" customFormat="1" ht="16.5" x14ac:dyDescent="0.25">
      <c r="A114" s="75"/>
      <c r="B114" s="79"/>
      <c r="C114" s="78"/>
      <c r="D114" s="85" t="str">
        <f t="shared" si="1"/>
        <v/>
      </c>
    </row>
    <row r="115" spans="1:4" s="69" customFormat="1" ht="16.5" x14ac:dyDescent="0.25">
      <c r="A115" s="75"/>
      <c r="B115" s="79"/>
      <c r="C115" s="78"/>
      <c r="D115" s="85" t="str">
        <f t="shared" si="1"/>
        <v/>
      </c>
    </row>
    <row r="116" spans="1:4" s="69" customFormat="1" ht="16.5" x14ac:dyDescent="0.25">
      <c r="A116" s="75"/>
      <c r="B116" s="79"/>
      <c r="C116" s="78"/>
      <c r="D116" s="85" t="str">
        <f t="shared" si="1"/>
        <v/>
      </c>
    </row>
    <row r="117" spans="1:4" s="69" customFormat="1" ht="16.5" x14ac:dyDescent="0.25">
      <c r="A117" s="75"/>
      <c r="B117" s="79"/>
      <c r="C117" s="78"/>
      <c r="D117" s="85" t="str">
        <f t="shared" si="1"/>
        <v/>
      </c>
    </row>
    <row r="118" spans="1:4" s="69" customFormat="1" ht="16.5" x14ac:dyDescent="0.25">
      <c r="A118" s="75"/>
      <c r="B118" s="79"/>
      <c r="C118" s="78"/>
      <c r="D118" s="85" t="str">
        <f t="shared" si="1"/>
        <v/>
      </c>
    </row>
    <row r="119" spans="1:4" s="69" customFormat="1" ht="16.5" x14ac:dyDescent="0.25">
      <c r="A119" s="75"/>
      <c r="B119" s="79"/>
      <c r="C119" s="78"/>
      <c r="D119" s="85" t="str">
        <f t="shared" si="1"/>
        <v/>
      </c>
    </row>
    <row r="120" spans="1:4" s="69" customFormat="1" ht="16.5" x14ac:dyDescent="0.25">
      <c r="A120" s="75"/>
      <c r="B120" s="79"/>
      <c r="C120" s="78"/>
      <c r="D120" s="85" t="str">
        <f t="shared" si="1"/>
        <v/>
      </c>
    </row>
    <row r="121" spans="1:4" s="69" customFormat="1" ht="16.5" x14ac:dyDescent="0.25">
      <c r="A121" s="75"/>
      <c r="B121" s="79"/>
      <c r="C121" s="78"/>
      <c r="D121" s="85" t="str">
        <f t="shared" si="1"/>
        <v/>
      </c>
    </row>
    <row r="122" spans="1:4" s="69" customFormat="1" ht="16.5" x14ac:dyDescent="0.25">
      <c r="A122" s="75"/>
      <c r="B122" s="79"/>
      <c r="C122" s="78"/>
      <c r="D122" s="85" t="str">
        <f t="shared" si="1"/>
        <v/>
      </c>
    </row>
    <row r="123" spans="1:4" s="69" customFormat="1" ht="16.5" x14ac:dyDescent="0.25">
      <c r="A123" s="75"/>
      <c r="B123" s="79"/>
      <c r="C123" s="78"/>
      <c r="D123" s="85" t="str">
        <f t="shared" si="1"/>
        <v/>
      </c>
    </row>
    <row r="124" spans="1:4" s="69" customFormat="1" ht="16.5" x14ac:dyDescent="0.25">
      <c r="A124" s="75"/>
      <c r="B124" s="79"/>
      <c r="C124" s="78"/>
      <c r="D124" s="85" t="str">
        <f t="shared" si="1"/>
        <v/>
      </c>
    </row>
    <row r="125" spans="1:4" s="69" customFormat="1" ht="16.5" x14ac:dyDescent="0.25">
      <c r="A125" s="75"/>
      <c r="B125" s="79"/>
      <c r="C125" s="78"/>
      <c r="D125" s="85" t="str">
        <f t="shared" si="1"/>
        <v/>
      </c>
    </row>
    <row r="126" spans="1:4" s="69" customFormat="1" ht="16.5" x14ac:dyDescent="0.25">
      <c r="A126" s="75"/>
      <c r="B126" s="79"/>
      <c r="C126" s="78"/>
      <c r="D126" s="85" t="str">
        <f t="shared" si="1"/>
        <v/>
      </c>
    </row>
    <row r="127" spans="1:4" s="69" customFormat="1" ht="16.5" x14ac:dyDescent="0.25">
      <c r="A127" s="75"/>
      <c r="B127" s="79"/>
      <c r="C127" s="78"/>
      <c r="D127" s="85" t="str">
        <f t="shared" si="1"/>
        <v/>
      </c>
    </row>
    <row r="128" spans="1:4" s="69" customFormat="1" ht="16.5" x14ac:dyDescent="0.25">
      <c r="A128" s="75"/>
      <c r="B128" s="79"/>
      <c r="C128" s="78"/>
      <c r="D128" s="85" t="str">
        <f t="shared" si="1"/>
        <v/>
      </c>
    </row>
    <row r="129" spans="1:4" s="69" customFormat="1" ht="16.5" x14ac:dyDescent="0.25">
      <c r="A129" s="75"/>
      <c r="B129" s="79"/>
      <c r="C129" s="78"/>
      <c r="D129" s="85" t="str">
        <f t="shared" si="1"/>
        <v/>
      </c>
    </row>
    <row r="130" spans="1:4" s="69" customFormat="1" ht="16.5" x14ac:dyDescent="0.25">
      <c r="A130" s="75"/>
      <c r="B130" s="79"/>
      <c r="C130" s="78"/>
      <c r="D130" s="85" t="str">
        <f t="shared" si="1"/>
        <v/>
      </c>
    </row>
    <row r="131" spans="1:4" s="69" customFormat="1" ht="16.5" x14ac:dyDescent="0.25">
      <c r="A131" s="75"/>
      <c r="B131" s="79"/>
      <c r="C131" s="78"/>
      <c r="D131" s="85" t="str">
        <f t="shared" si="1"/>
        <v/>
      </c>
    </row>
    <row r="132" spans="1:4" s="69" customFormat="1" ht="16.5" x14ac:dyDescent="0.25">
      <c r="A132" s="75"/>
      <c r="B132" s="79"/>
      <c r="C132" s="78"/>
      <c r="D132" s="85" t="str">
        <f t="shared" si="1"/>
        <v/>
      </c>
    </row>
    <row r="133" spans="1:4" s="69" customFormat="1" ht="16.5" x14ac:dyDescent="0.25">
      <c r="A133" s="75"/>
      <c r="B133" s="79"/>
      <c r="C133" s="78"/>
      <c r="D133" s="85" t="str">
        <f t="shared" si="1"/>
        <v/>
      </c>
    </row>
    <row r="134" spans="1:4" s="69" customFormat="1" ht="16.5" x14ac:dyDescent="0.25">
      <c r="A134" s="75"/>
      <c r="B134" s="79"/>
      <c r="C134" s="78"/>
      <c r="D134" s="85" t="str">
        <f t="shared" si="1"/>
        <v/>
      </c>
    </row>
    <row r="135" spans="1:4" s="69" customFormat="1" ht="16.5" x14ac:dyDescent="0.25">
      <c r="A135" s="75"/>
      <c r="B135" s="79"/>
      <c r="C135" s="78"/>
      <c r="D135" s="85" t="str">
        <f t="shared" ref="D135:D198" si="2">IF(B135&lt;&gt;"","&lt;file&gt;src\"&amp;B135&amp;".xml&lt;/file&gt;","")</f>
        <v/>
      </c>
    </row>
    <row r="136" spans="1:4" s="69" customFormat="1" ht="16.5" x14ac:dyDescent="0.25">
      <c r="A136" s="75"/>
      <c r="B136" s="79"/>
      <c r="C136" s="78"/>
      <c r="D136" s="85" t="str">
        <f t="shared" si="2"/>
        <v/>
      </c>
    </row>
    <row r="137" spans="1:4" s="69" customFormat="1" ht="16.5" x14ac:dyDescent="0.25">
      <c r="A137" s="75"/>
      <c r="B137" s="79"/>
      <c r="C137" s="78"/>
      <c r="D137" s="85" t="str">
        <f t="shared" si="2"/>
        <v/>
      </c>
    </row>
    <row r="138" spans="1:4" s="69" customFormat="1" ht="16.5" x14ac:dyDescent="0.25">
      <c r="A138" s="75"/>
      <c r="B138" s="79"/>
      <c r="C138" s="78"/>
      <c r="D138" s="85" t="str">
        <f t="shared" si="2"/>
        <v/>
      </c>
    </row>
    <row r="139" spans="1:4" s="69" customFormat="1" ht="16.5" x14ac:dyDescent="0.25">
      <c r="A139" s="75"/>
      <c r="B139" s="79"/>
      <c r="C139" s="78"/>
      <c r="D139" s="85" t="str">
        <f t="shared" si="2"/>
        <v/>
      </c>
    </row>
    <row r="140" spans="1:4" s="69" customFormat="1" ht="16.5" x14ac:dyDescent="0.25">
      <c r="A140" s="75"/>
      <c r="B140" s="79"/>
      <c r="C140" s="78"/>
      <c r="D140" s="85" t="str">
        <f t="shared" si="2"/>
        <v/>
      </c>
    </row>
    <row r="141" spans="1:4" s="69" customFormat="1" ht="16.5" x14ac:dyDescent="0.25">
      <c r="A141" s="75"/>
      <c r="B141" s="79"/>
      <c r="C141" s="78"/>
      <c r="D141" s="85" t="str">
        <f t="shared" si="2"/>
        <v/>
      </c>
    </row>
    <row r="142" spans="1:4" s="69" customFormat="1" ht="16.5" x14ac:dyDescent="0.25">
      <c r="A142" s="75"/>
      <c r="B142" s="79"/>
      <c r="C142" s="78"/>
      <c r="D142" s="85" t="str">
        <f t="shared" si="2"/>
        <v/>
      </c>
    </row>
    <row r="143" spans="1:4" s="69" customFormat="1" ht="16.5" x14ac:dyDescent="0.25">
      <c r="A143" s="75"/>
      <c r="B143" s="79"/>
      <c r="C143" s="78"/>
      <c r="D143" s="85" t="str">
        <f t="shared" si="2"/>
        <v/>
      </c>
    </row>
    <row r="144" spans="1:4" s="69" customFormat="1" ht="16.5" x14ac:dyDescent="0.25">
      <c r="A144" s="75"/>
      <c r="B144" s="79"/>
      <c r="C144" s="78"/>
      <c r="D144" s="85" t="str">
        <f t="shared" si="2"/>
        <v/>
      </c>
    </row>
    <row r="145" spans="1:4" s="69" customFormat="1" ht="16.5" x14ac:dyDescent="0.25">
      <c r="A145" s="75"/>
      <c r="B145" s="79"/>
      <c r="C145" s="78"/>
      <c r="D145" s="85" t="str">
        <f t="shared" si="2"/>
        <v/>
      </c>
    </row>
    <row r="146" spans="1:4" s="69" customFormat="1" ht="16.5" x14ac:dyDescent="0.25">
      <c r="A146" s="75"/>
      <c r="B146" s="79"/>
      <c r="C146" s="78"/>
      <c r="D146" s="85" t="str">
        <f t="shared" si="2"/>
        <v/>
      </c>
    </row>
    <row r="147" spans="1:4" s="69" customFormat="1" ht="16.5" x14ac:dyDescent="0.25">
      <c r="A147" s="75"/>
      <c r="B147" s="79"/>
      <c r="C147" s="78"/>
      <c r="D147" s="85" t="str">
        <f t="shared" si="2"/>
        <v/>
      </c>
    </row>
    <row r="148" spans="1:4" s="69" customFormat="1" ht="16.5" x14ac:dyDescent="0.25">
      <c r="A148" s="75"/>
      <c r="B148" s="79"/>
      <c r="C148" s="78"/>
      <c r="D148" s="85" t="str">
        <f t="shared" si="2"/>
        <v/>
      </c>
    </row>
    <row r="149" spans="1:4" s="69" customFormat="1" ht="16.5" x14ac:dyDescent="0.25">
      <c r="A149" s="75"/>
      <c r="B149" s="79"/>
      <c r="C149" s="78"/>
      <c r="D149" s="85" t="str">
        <f t="shared" si="2"/>
        <v/>
      </c>
    </row>
    <row r="150" spans="1:4" s="69" customFormat="1" ht="16.5" x14ac:dyDescent="0.25">
      <c r="A150" s="75"/>
      <c r="B150" s="79"/>
      <c r="C150" s="78"/>
      <c r="D150" s="85" t="str">
        <f t="shared" si="2"/>
        <v/>
      </c>
    </row>
    <row r="151" spans="1:4" s="69" customFormat="1" ht="16.5" x14ac:dyDescent="0.25">
      <c r="A151" s="75"/>
      <c r="B151" s="79"/>
      <c r="C151" s="78"/>
      <c r="D151" s="85" t="str">
        <f t="shared" si="2"/>
        <v/>
      </c>
    </row>
    <row r="152" spans="1:4" s="69" customFormat="1" ht="16.5" x14ac:dyDescent="0.25">
      <c r="A152" s="75"/>
      <c r="B152" s="79"/>
      <c r="C152" s="78"/>
      <c r="D152" s="85" t="str">
        <f t="shared" si="2"/>
        <v/>
      </c>
    </row>
    <row r="153" spans="1:4" s="69" customFormat="1" ht="16.5" x14ac:dyDescent="0.25">
      <c r="A153" s="75"/>
      <c r="B153" s="79"/>
      <c r="C153" s="78"/>
      <c r="D153" s="85" t="str">
        <f t="shared" si="2"/>
        <v/>
      </c>
    </row>
    <row r="154" spans="1:4" s="69" customFormat="1" ht="16.5" x14ac:dyDescent="0.25">
      <c r="A154" s="75"/>
      <c r="B154" s="79"/>
      <c r="C154" s="78"/>
      <c r="D154" s="85" t="str">
        <f t="shared" si="2"/>
        <v/>
      </c>
    </row>
    <row r="155" spans="1:4" s="69" customFormat="1" ht="16.5" x14ac:dyDescent="0.25">
      <c r="A155" s="75"/>
      <c r="B155" s="79"/>
      <c r="C155" s="78"/>
      <c r="D155" s="85" t="str">
        <f t="shared" si="2"/>
        <v/>
      </c>
    </row>
    <row r="156" spans="1:4" s="69" customFormat="1" ht="16.5" x14ac:dyDescent="0.25">
      <c r="A156" s="75"/>
      <c r="B156" s="79"/>
      <c r="C156" s="78"/>
      <c r="D156" s="85" t="str">
        <f t="shared" si="2"/>
        <v/>
      </c>
    </row>
    <row r="157" spans="1:4" s="69" customFormat="1" ht="16.5" x14ac:dyDescent="0.25">
      <c r="A157" s="75"/>
      <c r="B157" s="79"/>
      <c r="C157" s="78"/>
      <c r="D157" s="85" t="str">
        <f t="shared" si="2"/>
        <v/>
      </c>
    </row>
    <row r="158" spans="1:4" s="69" customFormat="1" ht="16.5" x14ac:dyDescent="0.25">
      <c r="A158" s="75"/>
      <c r="B158" s="79"/>
      <c r="C158" s="78"/>
      <c r="D158" s="85" t="str">
        <f t="shared" si="2"/>
        <v/>
      </c>
    </row>
    <row r="159" spans="1:4" s="69" customFormat="1" ht="16.5" x14ac:dyDescent="0.25">
      <c r="A159" s="75"/>
      <c r="B159" s="79"/>
      <c r="C159" s="78"/>
      <c r="D159" s="85" t="str">
        <f t="shared" si="2"/>
        <v/>
      </c>
    </row>
    <row r="160" spans="1:4" s="69" customFormat="1" ht="16.5" x14ac:dyDescent="0.25">
      <c r="A160" s="75"/>
      <c r="B160" s="79"/>
      <c r="C160" s="78"/>
      <c r="D160" s="85" t="str">
        <f t="shared" si="2"/>
        <v/>
      </c>
    </row>
    <row r="161" spans="1:4" s="69" customFormat="1" ht="16.5" x14ac:dyDescent="0.25">
      <c r="A161" s="75"/>
      <c r="B161" s="79"/>
      <c r="C161" s="78"/>
      <c r="D161" s="85" t="str">
        <f t="shared" si="2"/>
        <v/>
      </c>
    </row>
    <row r="162" spans="1:4" s="69" customFormat="1" ht="16.5" x14ac:dyDescent="0.25">
      <c r="A162" s="75"/>
      <c r="B162" s="79"/>
      <c r="C162" s="78"/>
      <c r="D162" s="85" t="str">
        <f t="shared" si="2"/>
        <v/>
      </c>
    </row>
    <row r="163" spans="1:4" s="69" customFormat="1" ht="16.5" x14ac:dyDescent="0.25">
      <c r="A163" s="75"/>
      <c r="B163" s="79"/>
      <c r="C163" s="78"/>
      <c r="D163" s="85" t="str">
        <f t="shared" si="2"/>
        <v/>
      </c>
    </row>
    <row r="164" spans="1:4" s="69" customFormat="1" ht="16.5" x14ac:dyDescent="0.25">
      <c r="A164" s="75"/>
      <c r="B164" s="79"/>
      <c r="C164" s="78"/>
      <c r="D164" s="85" t="str">
        <f t="shared" si="2"/>
        <v/>
      </c>
    </row>
    <row r="165" spans="1:4" s="69" customFormat="1" ht="16.5" x14ac:dyDescent="0.25">
      <c r="A165" s="75"/>
      <c r="B165" s="79"/>
      <c r="C165" s="78"/>
      <c r="D165" s="85" t="str">
        <f t="shared" si="2"/>
        <v/>
      </c>
    </row>
    <row r="166" spans="1:4" s="69" customFormat="1" ht="16.5" x14ac:dyDescent="0.25">
      <c r="A166" s="75"/>
      <c r="B166" s="79"/>
      <c r="C166" s="78"/>
      <c r="D166" s="85" t="str">
        <f t="shared" si="2"/>
        <v/>
      </c>
    </row>
    <row r="167" spans="1:4" s="69" customFormat="1" ht="16.5" x14ac:dyDescent="0.25">
      <c r="A167" s="75"/>
      <c r="B167" s="79"/>
      <c r="C167" s="78"/>
      <c r="D167" s="85" t="str">
        <f t="shared" si="2"/>
        <v/>
      </c>
    </row>
    <row r="168" spans="1:4" s="69" customFormat="1" ht="16.5" x14ac:dyDescent="0.25">
      <c r="A168" s="75"/>
      <c r="B168" s="79"/>
      <c r="C168" s="78"/>
      <c r="D168" s="84" t="str">
        <f t="shared" si="2"/>
        <v/>
      </c>
    </row>
    <row r="169" spans="1:4" s="69" customFormat="1" ht="16.5" x14ac:dyDescent="0.25">
      <c r="A169" s="75"/>
      <c r="B169" s="79"/>
      <c r="C169" s="78"/>
      <c r="D169" s="84" t="str">
        <f t="shared" si="2"/>
        <v/>
      </c>
    </row>
    <row r="170" spans="1:4" s="69" customFormat="1" ht="16.5" x14ac:dyDescent="0.25">
      <c r="A170" s="75"/>
      <c r="B170" s="79"/>
      <c r="C170" s="78"/>
      <c r="D170" s="84" t="str">
        <f t="shared" si="2"/>
        <v/>
      </c>
    </row>
    <row r="171" spans="1:4" s="69" customFormat="1" ht="16.5" x14ac:dyDescent="0.25">
      <c r="A171" s="75"/>
      <c r="B171" s="79"/>
      <c r="C171" s="78"/>
      <c r="D171" s="84" t="str">
        <f t="shared" si="2"/>
        <v/>
      </c>
    </row>
    <row r="172" spans="1:4" s="69" customFormat="1" ht="16.5" x14ac:dyDescent="0.25">
      <c r="A172" s="75"/>
      <c r="B172" s="79"/>
      <c r="C172" s="78"/>
      <c r="D172" s="84" t="str">
        <f t="shared" si="2"/>
        <v/>
      </c>
    </row>
    <row r="173" spans="1:4" s="69" customFormat="1" ht="16.5" x14ac:dyDescent="0.25">
      <c r="A173" s="75"/>
      <c r="B173" s="79"/>
      <c r="C173" s="78"/>
      <c r="D173" s="84" t="str">
        <f t="shared" si="2"/>
        <v/>
      </c>
    </row>
    <row r="174" spans="1:4" s="69" customFormat="1" ht="16.5" x14ac:dyDescent="0.25">
      <c r="A174" s="75"/>
      <c r="B174" s="79"/>
      <c r="C174" s="78"/>
      <c r="D174" s="84" t="str">
        <f t="shared" si="2"/>
        <v/>
      </c>
    </row>
    <row r="175" spans="1:4" s="69" customFormat="1" ht="16.5" x14ac:dyDescent="0.25">
      <c r="A175" s="75"/>
      <c r="B175" s="79"/>
      <c r="C175" s="78"/>
      <c r="D175" s="84" t="str">
        <f t="shared" si="2"/>
        <v/>
      </c>
    </row>
    <row r="176" spans="1:4" s="69" customFormat="1" ht="16.5" x14ac:dyDescent="0.25">
      <c r="A176" s="75"/>
      <c r="B176" s="79"/>
      <c r="C176" s="78"/>
      <c r="D176" s="84" t="str">
        <f t="shared" si="2"/>
        <v/>
      </c>
    </row>
    <row r="177" spans="1:4" s="69" customFormat="1" ht="16.5" x14ac:dyDescent="0.25">
      <c r="A177" s="75"/>
      <c r="B177" s="79"/>
      <c r="C177" s="78"/>
      <c r="D177" s="84" t="str">
        <f t="shared" si="2"/>
        <v/>
      </c>
    </row>
    <row r="178" spans="1:4" s="69" customFormat="1" ht="16.5" x14ac:dyDescent="0.25">
      <c r="A178" s="75"/>
      <c r="B178" s="79"/>
      <c r="C178" s="78"/>
      <c r="D178" s="84" t="str">
        <f t="shared" si="2"/>
        <v/>
      </c>
    </row>
    <row r="179" spans="1:4" s="69" customFormat="1" ht="16.5" x14ac:dyDescent="0.25">
      <c r="A179" s="75"/>
      <c r="B179" s="79"/>
      <c r="C179" s="78"/>
      <c r="D179" s="84" t="str">
        <f t="shared" si="2"/>
        <v/>
      </c>
    </row>
    <row r="180" spans="1:4" s="69" customFormat="1" ht="16.5" x14ac:dyDescent="0.25">
      <c r="A180" s="75"/>
      <c r="B180" s="79"/>
      <c r="C180" s="78"/>
      <c r="D180" s="84" t="str">
        <f t="shared" si="2"/>
        <v/>
      </c>
    </row>
    <row r="181" spans="1:4" s="69" customFormat="1" ht="16.5" x14ac:dyDescent="0.25">
      <c r="A181" s="75"/>
      <c r="B181" s="79"/>
      <c r="C181" s="78"/>
      <c r="D181" s="84" t="str">
        <f t="shared" si="2"/>
        <v/>
      </c>
    </row>
    <row r="182" spans="1:4" s="69" customFormat="1" ht="16.5" x14ac:dyDescent="0.25">
      <c r="A182" s="75"/>
      <c r="B182" s="79"/>
      <c r="C182" s="78"/>
      <c r="D182" s="84" t="str">
        <f t="shared" si="2"/>
        <v/>
      </c>
    </row>
    <row r="183" spans="1:4" s="69" customFormat="1" ht="16.5" x14ac:dyDescent="0.25">
      <c r="A183" s="75"/>
      <c r="B183" s="79"/>
      <c r="C183" s="78"/>
      <c r="D183" s="84" t="str">
        <f t="shared" si="2"/>
        <v/>
      </c>
    </row>
    <row r="184" spans="1:4" s="69" customFormat="1" ht="16.5" x14ac:dyDescent="0.25">
      <c r="A184" s="75"/>
      <c r="B184" s="79"/>
      <c r="C184" s="78"/>
      <c r="D184" s="84" t="str">
        <f t="shared" si="2"/>
        <v/>
      </c>
    </row>
    <row r="185" spans="1:4" s="69" customFormat="1" ht="16.5" x14ac:dyDescent="0.25">
      <c r="A185" s="75"/>
      <c r="B185" s="79"/>
      <c r="C185" s="78"/>
      <c r="D185" s="84" t="str">
        <f t="shared" si="2"/>
        <v/>
      </c>
    </row>
    <row r="186" spans="1:4" s="69" customFormat="1" ht="16.5" x14ac:dyDescent="0.25">
      <c r="A186" s="75"/>
      <c r="B186" s="79"/>
      <c r="C186" s="78"/>
      <c r="D186" s="84" t="str">
        <f t="shared" si="2"/>
        <v/>
      </c>
    </row>
    <row r="187" spans="1:4" s="69" customFormat="1" ht="16.5" x14ac:dyDescent="0.25">
      <c r="A187" s="75"/>
      <c r="B187" s="79"/>
      <c r="C187" s="78"/>
      <c r="D187" s="84" t="str">
        <f t="shared" si="2"/>
        <v/>
      </c>
    </row>
    <row r="188" spans="1:4" s="69" customFormat="1" ht="16.5" x14ac:dyDescent="0.25">
      <c r="A188" s="75"/>
      <c r="B188" s="79"/>
      <c r="C188" s="78"/>
      <c r="D188" s="84" t="str">
        <f t="shared" si="2"/>
        <v/>
      </c>
    </row>
    <row r="189" spans="1:4" s="69" customFormat="1" ht="16.5" x14ac:dyDescent="0.25">
      <c r="A189" s="75"/>
      <c r="B189" s="79"/>
      <c r="C189" s="78"/>
      <c r="D189" s="84" t="str">
        <f t="shared" si="2"/>
        <v/>
      </c>
    </row>
    <row r="190" spans="1:4" s="69" customFormat="1" ht="16.5" x14ac:dyDescent="0.25">
      <c r="A190" s="75"/>
      <c r="B190" s="79"/>
      <c r="C190" s="78"/>
      <c r="D190" s="84" t="str">
        <f t="shared" si="2"/>
        <v/>
      </c>
    </row>
    <row r="191" spans="1:4" s="69" customFormat="1" ht="16.5" x14ac:dyDescent="0.25">
      <c r="A191" s="75"/>
      <c r="B191" s="79"/>
      <c r="C191" s="78"/>
      <c r="D191" s="84" t="str">
        <f t="shared" si="2"/>
        <v/>
      </c>
    </row>
    <row r="192" spans="1:4" s="69" customFormat="1" ht="16.5" x14ac:dyDescent="0.25">
      <c r="A192" s="75"/>
      <c r="B192" s="79"/>
      <c r="C192" s="78"/>
      <c r="D192" s="84" t="str">
        <f t="shared" si="2"/>
        <v/>
      </c>
    </row>
    <row r="193" spans="1:4" s="69" customFormat="1" ht="16.5" x14ac:dyDescent="0.25">
      <c r="A193" s="75"/>
      <c r="B193" s="79"/>
      <c r="C193" s="78"/>
      <c r="D193" s="84" t="str">
        <f t="shared" si="2"/>
        <v/>
      </c>
    </row>
    <row r="194" spans="1:4" s="69" customFormat="1" ht="16.5" x14ac:dyDescent="0.25">
      <c r="A194" s="75"/>
      <c r="B194" s="79"/>
      <c r="C194" s="78"/>
      <c r="D194" s="84" t="str">
        <f t="shared" si="2"/>
        <v/>
      </c>
    </row>
    <row r="195" spans="1:4" s="69" customFormat="1" ht="16.5" x14ac:dyDescent="0.25">
      <c r="A195" s="75"/>
      <c r="B195" s="79"/>
      <c r="C195" s="78"/>
      <c r="D195" s="84" t="str">
        <f t="shared" si="2"/>
        <v/>
      </c>
    </row>
    <row r="196" spans="1:4" s="69" customFormat="1" ht="16.5" x14ac:dyDescent="0.25">
      <c r="A196" s="75"/>
      <c r="B196" s="79"/>
      <c r="C196" s="78"/>
      <c r="D196" s="84" t="str">
        <f t="shared" si="2"/>
        <v/>
      </c>
    </row>
    <row r="197" spans="1:4" s="69" customFormat="1" ht="16.5" x14ac:dyDescent="0.25">
      <c r="A197" s="75"/>
      <c r="B197" s="79"/>
      <c r="C197" s="78"/>
      <c r="D197" s="84" t="str">
        <f t="shared" si="2"/>
        <v/>
      </c>
    </row>
    <row r="198" spans="1:4" s="69" customFormat="1" ht="16.5" x14ac:dyDescent="0.25">
      <c r="A198" s="75"/>
      <c r="B198" s="79"/>
      <c r="C198" s="78"/>
      <c r="D198" s="84" t="str">
        <f t="shared" si="2"/>
        <v/>
      </c>
    </row>
    <row r="199" spans="1:4" s="69" customFormat="1" ht="16.5" x14ac:dyDescent="0.25">
      <c r="A199" s="75"/>
      <c r="B199" s="79"/>
      <c r="C199" s="78"/>
      <c r="D199" s="84" t="str">
        <f t="shared" ref="D199:D262" si="3">IF(B199&lt;&gt;"","&lt;file&gt;src\"&amp;B199&amp;".xml&lt;/file&gt;","")</f>
        <v/>
      </c>
    </row>
    <row r="200" spans="1:4" s="69" customFormat="1" ht="16.5" x14ac:dyDescent="0.25">
      <c r="A200" s="75"/>
      <c r="B200" s="79"/>
      <c r="C200" s="78"/>
      <c r="D200" s="84" t="str">
        <f t="shared" si="3"/>
        <v/>
      </c>
    </row>
    <row r="201" spans="1:4" s="69" customFormat="1" ht="16.5" x14ac:dyDescent="0.25">
      <c r="A201" s="75"/>
      <c r="B201" s="79"/>
      <c r="C201" s="78"/>
      <c r="D201" s="84" t="str">
        <f t="shared" si="3"/>
        <v/>
      </c>
    </row>
    <row r="202" spans="1:4" s="69" customFormat="1" ht="16.5" x14ac:dyDescent="0.25">
      <c r="A202" s="75"/>
      <c r="B202" s="79"/>
      <c r="C202" s="78"/>
      <c r="D202" s="84" t="str">
        <f t="shared" si="3"/>
        <v/>
      </c>
    </row>
    <row r="203" spans="1:4" s="69" customFormat="1" ht="16.5" x14ac:dyDescent="0.25">
      <c r="A203" s="75"/>
      <c r="B203" s="79"/>
      <c r="C203" s="78"/>
      <c r="D203" s="84" t="str">
        <f t="shared" si="3"/>
        <v/>
      </c>
    </row>
    <row r="204" spans="1:4" s="69" customFormat="1" ht="16.5" x14ac:dyDescent="0.25">
      <c r="A204" s="75"/>
      <c r="B204" s="79"/>
      <c r="C204" s="78"/>
      <c r="D204" s="84" t="str">
        <f t="shared" si="3"/>
        <v/>
      </c>
    </row>
    <row r="205" spans="1:4" s="69" customFormat="1" ht="16.5" x14ac:dyDescent="0.25">
      <c r="A205" s="75"/>
      <c r="B205" s="79"/>
      <c r="C205" s="78"/>
      <c r="D205" s="84" t="str">
        <f t="shared" si="3"/>
        <v/>
      </c>
    </row>
    <row r="206" spans="1:4" s="69" customFormat="1" ht="16.5" x14ac:dyDescent="0.25">
      <c r="A206" s="75"/>
      <c r="B206" s="79"/>
      <c r="C206" s="78"/>
      <c r="D206" s="84" t="str">
        <f t="shared" si="3"/>
        <v/>
      </c>
    </row>
    <row r="207" spans="1:4" s="69" customFormat="1" ht="16.5" x14ac:dyDescent="0.25">
      <c r="A207" s="75"/>
      <c r="B207" s="79"/>
      <c r="C207" s="78"/>
      <c r="D207" s="84" t="str">
        <f t="shared" si="3"/>
        <v/>
      </c>
    </row>
    <row r="208" spans="1:4" s="69" customFormat="1" ht="16.5" x14ac:dyDescent="0.25">
      <c r="A208" s="75"/>
      <c r="B208" s="79"/>
      <c r="C208" s="78"/>
      <c r="D208" s="84" t="str">
        <f t="shared" si="3"/>
        <v/>
      </c>
    </row>
    <row r="209" spans="1:4" s="69" customFormat="1" ht="16.5" x14ac:dyDescent="0.25">
      <c r="A209" s="75"/>
      <c r="B209" s="79"/>
      <c r="C209" s="78"/>
      <c r="D209" s="84" t="str">
        <f t="shared" si="3"/>
        <v/>
      </c>
    </row>
    <row r="210" spans="1:4" s="69" customFormat="1" ht="16.5" x14ac:dyDescent="0.25">
      <c r="A210" s="75"/>
      <c r="B210" s="79"/>
      <c r="C210" s="78"/>
      <c r="D210" s="84" t="str">
        <f t="shared" si="3"/>
        <v/>
      </c>
    </row>
    <row r="211" spans="1:4" s="69" customFormat="1" ht="16.5" x14ac:dyDescent="0.25">
      <c r="A211" s="75"/>
      <c r="B211" s="79"/>
      <c r="C211" s="78"/>
      <c r="D211" s="84" t="str">
        <f t="shared" si="3"/>
        <v/>
      </c>
    </row>
    <row r="212" spans="1:4" s="69" customFormat="1" ht="16.5" x14ac:dyDescent="0.25">
      <c r="A212" s="75"/>
      <c r="B212" s="79"/>
      <c r="C212" s="78"/>
      <c r="D212" s="84" t="str">
        <f t="shared" si="3"/>
        <v/>
      </c>
    </row>
    <row r="213" spans="1:4" s="69" customFormat="1" ht="16.5" x14ac:dyDescent="0.25">
      <c r="A213" s="75"/>
      <c r="B213" s="79"/>
      <c r="C213" s="78"/>
      <c r="D213" s="84" t="str">
        <f t="shared" si="3"/>
        <v/>
      </c>
    </row>
    <row r="214" spans="1:4" s="69" customFormat="1" ht="16.5" x14ac:dyDescent="0.25">
      <c r="A214" s="75"/>
      <c r="B214" s="79"/>
      <c r="C214" s="78"/>
      <c r="D214" s="84" t="str">
        <f t="shared" si="3"/>
        <v/>
      </c>
    </row>
    <row r="215" spans="1:4" s="69" customFormat="1" ht="16.5" x14ac:dyDescent="0.25">
      <c r="A215" s="75"/>
      <c r="B215" s="79"/>
      <c r="C215" s="78"/>
      <c r="D215" s="84" t="str">
        <f t="shared" si="3"/>
        <v/>
      </c>
    </row>
    <row r="216" spans="1:4" s="69" customFormat="1" ht="16.5" x14ac:dyDescent="0.25">
      <c r="A216" s="75"/>
      <c r="B216" s="79"/>
      <c r="C216" s="78"/>
      <c r="D216" s="84" t="str">
        <f t="shared" si="3"/>
        <v/>
      </c>
    </row>
    <row r="217" spans="1:4" s="69" customFormat="1" ht="16.5" x14ac:dyDescent="0.25">
      <c r="A217" s="75"/>
      <c r="B217" s="79"/>
      <c r="C217" s="78"/>
      <c r="D217" s="84" t="str">
        <f t="shared" si="3"/>
        <v/>
      </c>
    </row>
    <row r="218" spans="1:4" s="69" customFormat="1" ht="16.5" x14ac:dyDescent="0.25">
      <c r="A218" s="75"/>
      <c r="B218" s="79"/>
      <c r="C218" s="78"/>
      <c r="D218" s="84" t="str">
        <f t="shared" si="3"/>
        <v/>
      </c>
    </row>
    <row r="219" spans="1:4" s="69" customFormat="1" ht="16.5" x14ac:dyDescent="0.25">
      <c r="A219" s="75"/>
      <c r="B219" s="79"/>
      <c r="C219" s="78"/>
      <c r="D219" s="84" t="str">
        <f t="shared" si="3"/>
        <v/>
      </c>
    </row>
    <row r="220" spans="1:4" s="69" customFormat="1" ht="16.5" x14ac:dyDescent="0.25">
      <c r="A220" s="75"/>
      <c r="B220" s="79"/>
      <c r="C220" s="78"/>
      <c r="D220" s="84" t="str">
        <f t="shared" si="3"/>
        <v/>
      </c>
    </row>
    <row r="221" spans="1:4" s="69" customFormat="1" ht="16.5" x14ac:dyDescent="0.25">
      <c r="A221" s="75"/>
      <c r="B221" s="79"/>
      <c r="C221" s="78"/>
      <c r="D221" s="84" t="str">
        <f t="shared" si="3"/>
        <v/>
      </c>
    </row>
    <row r="222" spans="1:4" s="69" customFormat="1" ht="16.5" x14ac:dyDescent="0.25">
      <c r="A222" s="75"/>
      <c r="B222" s="79"/>
      <c r="C222" s="78"/>
      <c r="D222" s="84" t="str">
        <f t="shared" si="3"/>
        <v/>
      </c>
    </row>
    <row r="223" spans="1:4" s="69" customFormat="1" ht="16.5" x14ac:dyDescent="0.25">
      <c r="A223" s="75"/>
      <c r="B223" s="79"/>
      <c r="C223" s="78"/>
      <c r="D223" s="84" t="str">
        <f t="shared" si="3"/>
        <v/>
      </c>
    </row>
    <row r="224" spans="1:4" s="69" customFormat="1" ht="16.5" x14ac:dyDescent="0.25">
      <c r="A224" s="75"/>
      <c r="B224" s="79"/>
      <c r="C224" s="78"/>
      <c r="D224" s="84" t="str">
        <f t="shared" si="3"/>
        <v/>
      </c>
    </row>
    <row r="225" spans="1:4" s="69" customFormat="1" ht="16.5" x14ac:dyDescent="0.25">
      <c r="A225" s="75"/>
      <c r="B225" s="79"/>
      <c r="C225" s="78"/>
      <c r="D225" s="84" t="str">
        <f t="shared" si="3"/>
        <v/>
      </c>
    </row>
    <row r="226" spans="1:4" s="69" customFormat="1" ht="16.5" x14ac:dyDescent="0.25">
      <c r="A226" s="75"/>
      <c r="B226" s="79"/>
      <c r="C226" s="78"/>
      <c r="D226" s="84" t="str">
        <f t="shared" si="3"/>
        <v/>
      </c>
    </row>
    <row r="227" spans="1:4" s="69" customFormat="1" ht="16.5" x14ac:dyDescent="0.25">
      <c r="A227" s="75"/>
      <c r="B227" s="79"/>
      <c r="C227" s="78"/>
      <c r="D227" s="84" t="str">
        <f t="shared" si="3"/>
        <v/>
      </c>
    </row>
    <row r="228" spans="1:4" s="69" customFormat="1" ht="16.5" x14ac:dyDescent="0.25">
      <c r="A228" s="75"/>
      <c r="B228" s="79"/>
      <c r="C228" s="78"/>
      <c r="D228" s="84" t="str">
        <f t="shared" si="3"/>
        <v/>
      </c>
    </row>
    <row r="229" spans="1:4" s="69" customFormat="1" ht="16.5" x14ac:dyDescent="0.25">
      <c r="A229" s="75"/>
      <c r="B229" s="79"/>
      <c r="C229" s="78"/>
      <c r="D229" s="84" t="str">
        <f t="shared" si="3"/>
        <v/>
      </c>
    </row>
    <row r="230" spans="1:4" s="69" customFormat="1" ht="16.5" x14ac:dyDescent="0.25">
      <c r="A230" s="75"/>
      <c r="B230" s="79"/>
      <c r="C230" s="78"/>
      <c r="D230" s="84" t="str">
        <f t="shared" si="3"/>
        <v/>
      </c>
    </row>
    <row r="231" spans="1:4" s="69" customFormat="1" ht="16.5" x14ac:dyDescent="0.25">
      <c r="A231" s="75"/>
      <c r="B231" s="79"/>
      <c r="C231" s="78"/>
      <c r="D231" s="84" t="str">
        <f t="shared" si="3"/>
        <v/>
      </c>
    </row>
    <row r="232" spans="1:4" s="69" customFormat="1" ht="16.5" x14ac:dyDescent="0.25">
      <c r="A232" s="75"/>
      <c r="B232" s="79"/>
      <c r="C232" s="78"/>
      <c r="D232" s="84" t="str">
        <f t="shared" si="3"/>
        <v/>
      </c>
    </row>
    <row r="233" spans="1:4" s="69" customFormat="1" ht="16.5" x14ac:dyDescent="0.25">
      <c r="A233" s="75"/>
      <c r="B233" s="79"/>
      <c r="C233" s="78"/>
      <c r="D233" s="84" t="str">
        <f t="shared" si="3"/>
        <v/>
      </c>
    </row>
    <row r="234" spans="1:4" s="69" customFormat="1" ht="16.5" x14ac:dyDescent="0.25">
      <c r="A234" s="75"/>
      <c r="B234" s="79"/>
      <c r="C234" s="78"/>
      <c r="D234" s="84" t="str">
        <f t="shared" si="3"/>
        <v/>
      </c>
    </row>
    <row r="235" spans="1:4" s="69" customFormat="1" ht="16.5" x14ac:dyDescent="0.25">
      <c r="A235" s="75"/>
      <c r="B235" s="79"/>
      <c r="C235" s="78"/>
      <c r="D235" s="84" t="str">
        <f t="shared" si="3"/>
        <v/>
      </c>
    </row>
    <row r="236" spans="1:4" s="69" customFormat="1" ht="16.5" x14ac:dyDescent="0.25">
      <c r="A236" s="75"/>
      <c r="B236" s="79"/>
      <c r="C236" s="78"/>
      <c r="D236" s="84" t="str">
        <f t="shared" si="3"/>
        <v/>
      </c>
    </row>
    <row r="237" spans="1:4" s="69" customFormat="1" ht="16.5" x14ac:dyDescent="0.25">
      <c r="A237" s="75"/>
      <c r="B237" s="79"/>
      <c r="C237" s="78"/>
      <c r="D237" s="84" t="str">
        <f t="shared" si="3"/>
        <v/>
      </c>
    </row>
    <row r="238" spans="1:4" s="69" customFormat="1" ht="16.5" x14ac:dyDescent="0.25">
      <c r="A238" s="75"/>
      <c r="B238" s="79"/>
      <c r="C238" s="78"/>
      <c r="D238" s="84" t="str">
        <f t="shared" si="3"/>
        <v/>
      </c>
    </row>
    <row r="239" spans="1:4" s="69" customFormat="1" ht="16.5" x14ac:dyDescent="0.25">
      <c r="A239" s="75"/>
      <c r="B239" s="79"/>
      <c r="C239" s="78"/>
      <c r="D239" s="84" t="str">
        <f t="shared" si="3"/>
        <v/>
      </c>
    </row>
    <row r="240" spans="1:4" s="69" customFormat="1" ht="16.5" x14ac:dyDescent="0.25">
      <c r="A240" s="75"/>
      <c r="B240" s="79"/>
      <c r="C240" s="78"/>
      <c r="D240" s="84" t="str">
        <f t="shared" si="3"/>
        <v/>
      </c>
    </row>
    <row r="241" spans="1:4" s="69" customFormat="1" ht="16.5" x14ac:dyDescent="0.25">
      <c r="A241" s="75"/>
      <c r="B241" s="79"/>
      <c r="C241" s="78"/>
      <c r="D241" s="84" t="str">
        <f t="shared" si="3"/>
        <v/>
      </c>
    </row>
    <row r="242" spans="1:4" s="69" customFormat="1" ht="16.5" x14ac:dyDescent="0.25">
      <c r="A242" s="75"/>
      <c r="B242" s="79"/>
      <c r="C242" s="78"/>
      <c r="D242" s="84" t="str">
        <f t="shared" si="3"/>
        <v/>
      </c>
    </row>
    <row r="243" spans="1:4" s="69" customFormat="1" ht="16.5" x14ac:dyDescent="0.25">
      <c r="A243" s="75"/>
      <c r="B243" s="79"/>
      <c r="C243" s="78"/>
      <c r="D243" s="84" t="str">
        <f t="shared" si="3"/>
        <v/>
      </c>
    </row>
    <row r="244" spans="1:4" s="69" customFormat="1" ht="16.5" x14ac:dyDescent="0.25">
      <c r="A244" s="75"/>
      <c r="B244" s="79"/>
      <c r="C244" s="78"/>
      <c r="D244" s="84" t="str">
        <f t="shared" si="3"/>
        <v/>
      </c>
    </row>
    <row r="245" spans="1:4" s="69" customFormat="1" ht="16.5" x14ac:dyDescent="0.25">
      <c r="A245" s="75"/>
      <c r="B245" s="79"/>
      <c r="C245" s="78"/>
      <c r="D245" s="84" t="str">
        <f t="shared" si="3"/>
        <v/>
      </c>
    </row>
    <row r="246" spans="1:4" s="69" customFormat="1" ht="16.5" x14ac:dyDescent="0.25">
      <c r="A246" s="75"/>
      <c r="B246" s="79"/>
      <c r="C246" s="78"/>
      <c r="D246" s="84" t="str">
        <f t="shared" si="3"/>
        <v/>
      </c>
    </row>
    <row r="247" spans="1:4" s="69" customFormat="1" ht="16.5" x14ac:dyDescent="0.25">
      <c r="A247" s="75"/>
      <c r="B247" s="79"/>
      <c r="C247" s="78"/>
      <c r="D247" s="84" t="str">
        <f t="shared" si="3"/>
        <v/>
      </c>
    </row>
    <row r="248" spans="1:4" s="69" customFormat="1" ht="16.5" x14ac:dyDescent="0.25">
      <c r="A248" s="75"/>
      <c r="B248" s="79"/>
      <c r="C248" s="78"/>
      <c r="D248" s="84" t="str">
        <f t="shared" si="3"/>
        <v/>
      </c>
    </row>
    <row r="249" spans="1:4" s="69" customFormat="1" ht="16.5" x14ac:dyDescent="0.25">
      <c r="A249" s="75"/>
      <c r="B249" s="79"/>
      <c r="C249" s="78"/>
      <c r="D249" s="84" t="str">
        <f t="shared" si="3"/>
        <v/>
      </c>
    </row>
    <row r="250" spans="1:4" s="69" customFormat="1" ht="16.5" x14ac:dyDescent="0.25">
      <c r="A250" s="75"/>
      <c r="B250" s="79"/>
      <c r="C250" s="78"/>
      <c r="D250" s="84" t="str">
        <f t="shared" si="3"/>
        <v/>
      </c>
    </row>
    <row r="251" spans="1:4" s="69" customFormat="1" ht="16.5" x14ac:dyDescent="0.25">
      <c r="A251" s="75"/>
      <c r="B251" s="79"/>
      <c r="C251" s="78"/>
      <c r="D251" s="84" t="str">
        <f t="shared" si="3"/>
        <v/>
      </c>
    </row>
    <row r="252" spans="1:4" s="69" customFormat="1" ht="16.5" x14ac:dyDescent="0.25">
      <c r="A252" s="75"/>
      <c r="B252" s="79"/>
      <c r="C252" s="78"/>
      <c r="D252" s="84" t="str">
        <f t="shared" si="3"/>
        <v/>
      </c>
    </row>
    <row r="253" spans="1:4" s="69" customFormat="1" ht="16.5" x14ac:dyDescent="0.25">
      <c r="A253" s="75"/>
      <c r="B253" s="79"/>
      <c r="C253" s="78"/>
      <c r="D253" s="84" t="str">
        <f t="shared" si="3"/>
        <v/>
      </c>
    </row>
    <row r="254" spans="1:4" s="69" customFormat="1" ht="16.5" x14ac:dyDescent="0.25">
      <c r="A254" s="75"/>
      <c r="B254" s="79"/>
      <c r="C254" s="78"/>
      <c r="D254" s="84" t="str">
        <f t="shared" si="3"/>
        <v/>
      </c>
    </row>
    <row r="255" spans="1:4" s="69" customFormat="1" ht="16.5" x14ac:dyDescent="0.25">
      <c r="A255" s="75"/>
      <c r="B255" s="79"/>
      <c r="C255" s="78"/>
      <c r="D255" s="84" t="str">
        <f t="shared" si="3"/>
        <v/>
      </c>
    </row>
    <row r="256" spans="1:4" s="69" customFormat="1" ht="16.5" x14ac:dyDescent="0.25">
      <c r="A256" s="75"/>
      <c r="B256" s="79"/>
      <c r="C256" s="78"/>
      <c r="D256" s="84" t="str">
        <f t="shared" si="3"/>
        <v/>
      </c>
    </row>
    <row r="257" spans="1:4" s="69" customFormat="1" ht="16.5" x14ac:dyDescent="0.25">
      <c r="A257" s="75"/>
      <c r="B257" s="79"/>
      <c r="C257" s="78"/>
      <c r="D257" s="84" t="str">
        <f t="shared" si="3"/>
        <v/>
      </c>
    </row>
    <row r="258" spans="1:4" s="69" customFormat="1" ht="16.5" x14ac:dyDescent="0.25">
      <c r="A258" s="75"/>
      <c r="B258" s="79"/>
      <c r="C258" s="78"/>
      <c r="D258" s="84" t="str">
        <f t="shared" si="3"/>
        <v/>
      </c>
    </row>
    <row r="259" spans="1:4" s="69" customFormat="1" ht="16.5" x14ac:dyDescent="0.25">
      <c r="A259" s="75"/>
      <c r="B259" s="79"/>
      <c r="C259" s="78"/>
      <c r="D259" s="84" t="str">
        <f t="shared" si="3"/>
        <v/>
      </c>
    </row>
    <row r="260" spans="1:4" s="69" customFormat="1" ht="16.5" x14ac:dyDescent="0.25">
      <c r="A260" s="75"/>
      <c r="B260" s="79"/>
      <c r="C260" s="78"/>
      <c r="D260" s="84" t="str">
        <f t="shared" si="3"/>
        <v/>
      </c>
    </row>
    <row r="261" spans="1:4" s="69" customFormat="1" ht="16.5" x14ac:dyDescent="0.25">
      <c r="A261" s="75"/>
      <c r="B261" s="79"/>
      <c r="C261" s="78"/>
      <c r="D261" s="84" t="str">
        <f t="shared" si="3"/>
        <v/>
      </c>
    </row>
    <row r="262" spans="1:4" s="69" customFormat="1" ht="16.5" x14ac:dyDescent="0.25">
      <c r="A262" s="75"/>
      <c r="B262" s="79"/>
      <c r="C262" s="78"/>
      <c r="D262" s="84" t="str">
        <f t="shared" si="3"/>
        <v/>
      </c>
    </row>
    <row r="263" spans="1:4" s="69" customFormat="1" ht="16.5" x14ac:dyDescent="0.25">
      <c r="A263" s="75"/>
      <c r="B263" s="79"/>
      <c r="C263" s="78"/>
      <c r="D263" s="84" t="str">
        <f t="shared" ref="D263:D326" si="4">IF(B263&lt;&gt;"","&lt;file&gt;src\"&amp;B263&amp;".xml&lt;/file&gt;","")</f>
        <v/>
      </c>
    </row>
    <row r="264" spans="1:4" s="69" customFormat="1" ht="16.5" x14ac:dyDescent="0.25">
      <c r="A264" s="75"/>
      <c r="B264" s="79"/>
      <c r="C264" s="78"/>
      <c r="D264" s="84" t="str">
        <f t="shared" si="4"/>
        <v/>
      </c>
    </row>
    <row r="265" spans="1:4" s="69" customFormat="1" ht="16.5" x14ac:dyDescent="0.25">
      <c r="A265" s="75"/>
      <c r="B265" s="79"/>
      <c r="C265" s="78"/>
      <c r="D265" s="84" t="str">
        <f t="shared" si="4"/>
        <v/>
      </c>
    </row>
    <row r="266" spans="1:4" s="69" customFormat="1" ht="16.5" x14ac:dyDescent="0.25">
      <c r="A266" s="75"/>
      <c r="B266" s="79"/>
      <c r="C266" s="78"/>
      <c r="D266" s="84" t="str">
        <f t="shared" si="4"/>
        <v/>
      </c>
    </row>
    <row r="267" spans="1:4" s="69" customFormat="1" ht="16.5" x14ac:dyDescent="0.25">
      <c r="A267" s="75"/>
      <c r="B267" s="79"/>
      <c r="C267" s="78"/>
      <c r="D267" s="84" t="str">
        <f t="shared" si="4"/>
        <v/>
      </c>
    </row>
    <row r="268" spans="1:4" s="69" customFormat="1" ht="16.5" x14ac:dyDescent="0.25">
      <c r="A268" s="75"/>
      <c r="B268" s="79"/>
      <c r="C268" s="78"/>
      <c r="D268" s="84" t="str">
        <f t="shared" si="4"/>
        <v/>
      </c>
    </row>
    <row r="269" spans="1:4" s="69" customFormat="1" ht="16.5" x14ac:dyDescent="0.25">
      <c r="A269" s="75"/>
      <c r="B269" s="79"/>
      <c r="C269" s="78"/>
      <c r="D269" s="84" t="str">
        <f t="shared" si="4"/>
        <v/>
      </c>
    </row>
    <row r="270" spans="1:4" s="69" customFormat="1" ht="16.5" x14ac:dyDescent="0.25">
      <c r="A270" s="75"/>
      <c r="B270" s="79"/>
      <c r="C270" s="78"/>
      <c r="D270" s="84" t="str">
        <f t="shared" si="4"/>
        <v/>
      </c>
    </row>
    <row r="271" spans="1:4" s="69" customFormat="1" ht="16.5" x14ac:dyDescent="0.25">
      <c r="A271" s="75"/>
      <c r="B271" s="79"/>
      <c r="C271" s="78"/>
      <c r="D271" s="84" t="str">
        <f t="shared" si="4"/>
        <v/>
      </c>
    </row>
    <row r="272" spans="1:4" s="69" customFormat="1" ht="16.5" x14ac:dyDescent="0.25">
      <c r="A272" s="75"/>
      <c r="B272" s="79"/>
      <c r="C272" s="78"/>
      <c r="D272" s="84" t="str">
        <f t="shared" si="4"/>
        <v/>
      </c>
    </row>
    <row r="273" spans="1:4" s="69" customFormat="1" ht="16.5" x14ac:dyDescent="0.25">
      <c r="A273" s="75"/>
      <c r="B273" s="79"/>
      <c r="C273" s="78"/>
      <c r="D273" s="84" t="str">
        <f t="shared" si="4"/>
        <v/>
      </c>
    </row>
    <row r="274" spans="1:4" s="69" customFormat="1" ht="16.5" x14ac:dyDescent="0.25">
      <c r="A274" s="75"/>
      <c r="B274" s="79"/>
      <c r="C274" s="78"/>
      <c r="D274" s="84" t="str">
        <f t="shared" si="4"/>
        <v/>
      </c>
    </row>
    <row r="275" spans="1:4" s="69" customFormat="1" ht="16.5" x14ac:dyDescent="0.25">
      <c r="A275" s="75"/>
      <c r="B275" s="79"/>
      <c r="C275" s="78"/>
      <c r="D275" s="84" t="str">
        <f t="shared" si="4"/>
        <v/>
      </c>
    </row>
    <row r="276" spans="1:4" s="69" customFormat="1" ht="16.5" x14ac:dyDescent="0.25">
      <c r="A276" s="75"/>
      <c r="B276" s="79"/>
      <c r="C276" s="78"/>
      <c r="D276" s="84" t="str">
        <f t="shared" si="4"/>
        <v/>
      </c>
    </row>
    <row r="277" spans="1:4" s="69" customFormat="1" ht="16.5" x14ac:dyDescent="0.25">
      <c r="A277" s="75"/>
      <c r="B277" s="79"/>
      <c r="C277" s="78"/>
      <c r="D277" s="84" t="str">
        <f t="shared" si="4"/>
        <v/>
      </c>
    </row>
    <row r="278" spans="1:4" s="69" customFormat="1" ht="16.5" x14ac:dyDescent="0.25">
      <c r="A278" s="75"/>
      <c r="B278" s="79"/>
      <c r="C278" s="78"/>
      <c r="D278" s="84" t="str">
        <f t="shared" si="4"/>
        <v/>
      </c>
    </row>
    <row r="279" spans="1:4" s="69" customFormat="1" ht="16.5" x14ac:dyDescent="0.25">
      <c r="A279" s="75"/>
      <c r="B279" s="79"/>
      <c r="C279" s="78"/>
      <c r="D279" s="84" t="str">
        <f t="shared" si="4"/>
        <v/>
      </c>
    </row>
    <row r="280" spans="1:4" s="69" customFormat="1" ht="16.5" x14ac:dyDescent="0.25">
      <c r="A280" s="75"/>
      <c r="B280" s="79"/>
      <c r="C280" s="78"/>
      <c r="D280" s="84" t="str">
        <f t="shared" si="4"/>
        <v/>
      </c>
    </row>
    <row r="281" spans="1:4" s="69" customFormat="1" ht="16.5" x14ac:dyDescent="0.25">
      <c r="A281" s="75"/>
      <c r="B281" s="79"/>
      <c r="C281" s="78"/>
      <c r="D281" s="84" t="str">
        <f t="shared" si="4"/>
        <v/>
      </c>
    </row>
    <row r="282" spans="1:4" s="69" customFormat="1" ht="16.5" x14ac:dyDescent="0.25">
      <c r="A282" s="75"/>
      <c r="B282" s="79"/>
      <c r="C282" s="78"/>
      <c r="D282" s="84" t="str">
        <f t="shared" si="4"/>
        <v/>
      </c>
    </row>
    <row r="283" spans="1:4" s="69" customFormat="1" ht="16.5" x14ac:dyDescent="0.25">
      <c r="A283" s="75"/>
      <c r="B283" s="79"/>
      <c r="C283" s="78"/>
      <c r="D283" s="84" t="str">
        <f t="shared" si="4"/>
        <v/>
      </c>
    </row>
    <row r="284" spans="1:4" s="69" customFormat="1" ht="16.5" x14ac:dyDescent="0.25">
      <c r="A284" s="75"/>
      <c r="B284" s="79"/>
      <c r="C284" s="78"/>
      <c r="D284" s="84" t="str">
        <f t="shared" si="4"/>
        <v/>
      </c>
    </row>
    <row r="285" spans="1:4" s="69" customFormat="1" ht="16.5" x14ac:dyDescent="0.25">
      <c r="A285" s="75"/>
      <c r="B285" s="79"/>
      <c r="C285" s="78"/>
      <c r="D285" s="84" t="str">
        <f t="shared" si="4"/>
        <v/>
      </c>
    </row>
    <row r="286" spans="1:4" s="69" customFormat="1" ht="16.5" x14ac:dyDescent="0.25">
      <c r="A286" s="75"/>
      <c r="B286" s="79"/>
      <c r="C286" s="78"/>
      <c r="D286" s="84" t="str">
        <f t="shared" si="4"/>
        <v/>
      </c>
    </row>
    <row r="287" spans="1:4" s="69" customFormat="1" ht="16.5" x14ac:dyDescent="0.25">
      <c r="A287" s="75"/>
      <c r="B287" s="79"/>
      <c r="C287" s="78"/>
      <c r="D287" s="84" t="str">
        <f t="shared" si="4"/>
        <v/>
      </c>
    </row>
    <row r="288" spans="1:4" s="69" customFormat="1" ht="16.5" x14ac:dyDescent="0.25">
      <c r="A288" s="75"/>
      <c r="B288" s="79"/>
      <c r="C288" s="78"/>
      <c r="D288" s="84" t="str">
        <f t="shared" si="4"/>
        <v/>
      </c>
    </row>
    <row r="289" spans="1:4" s="69" customFormat="1" ht="16.5" x14ac:dyDescent="0.25">
      <c r="A289" s="75"/>
      <c r="B289" s="79"/>
      <c r="C289" s="78"/>
      <c r="D289" s="84" t="str">
        <f t="shared" si="4"/>
        <v/>
      </c>
    </row>
    <row r="290" spans="1:4" s="69" customFormat="1" ht="16.5" x14ac:dyDescent="0.25">
      <c r="A290" s="75"/>
      <c r="B290" s="79"/>
      <c r="C290" s="78"/>
      <c r="D290" s="84" t="str">
        <f t="shared" si="4"/>
        <v/>
      </c>
    </row>
    <row r="291" spans="1:4" s="69" customFormat="1" ht="16.5" x14ac:dyDescent="0.25">
      <c r="A291" s="75"/>
      <c r="B291" s="79"/>
      <c r="C291" s="78"/>
      <c r="D291" s="84" t="str">
        <f t="shared" si="4"/>
        <v/>
      </c>
    </row>
    <row r="292" spans="1:4" s="69" customFormat="1" ht="16.5" x14ac:dyDescent="0.25">
      <c r="A292" s="75"/>
      <c r="B292" s="79"/>
      <c r="C292" s="78"/>
      <c r="D292" s="84" t="str">
        <f t="shared" si="4"/>
        <v/>
      </c>
    </row>
    <row r="293" spans="1:4" s="69" customFormat="1" ht="16.5" x14ac:dyDescent="0.25">
      <c r="A293" s="75"/>
      <c r="B293" s="79"/>
      <c r="C293" s="78"/>
      <c r="D293" s="84" t="str">
        <f t="shared" si="4"/>
        <v/>
      </c>
    </row>
    <row r="294" spans="1:4" s="69" customFormat="1" ht="16.5" x14ac:dyDescent="0.25">
      <c r="A294" s="75"/>
      <c r="B294" s="79"/>
      <c r="C294" s="78"/>
      <c r="D294" s="84" t="str">
        <f t="shared" si="4"/>
        <v/>
      </c>
    </row>
    <row r="295" spans="1:4" s="69" customFormat="1" ht="16.5" x14ac:dyDescent="0.25">
      <c r="A295" s="75"/>
      <c r="B295" s="79"/>
      <c r="C295" s="78"/>
      <c r="D295" s="84" t="str">
        <f t="shared" si="4"/>
        <v/>
      </c>
    </row>
    <row r="296" spans="1:4" s="69" customFormat="1" ht="16.5" x14ac:dyDescent="0.25">
      <c r="A296" s="75"/>
      <c r="B296" s="79"/>
      <c r="C296" s="78"/>
      <c r="D296" s="84" t="str">
        <f t="shared" si="4"/>
        <v/>
      </c>
    </row>
    <row r="297" spans="1:4" s="69" customFormat="1" ht="16.5" x14ac:dyDescent="0.25">
      <c r="A297" s="75"/>
      <c r="B297" s="79"/>
      <c r="C297" s="78"/>
      <c r="D297" s="84" t="str">
        <f t="shared" si="4"/>
        <v/>
      </c>
    </row>
    <row r="298" spans="1:4" s="69" customFormat="1" ht="16.5" x14ac:dyDescent="0.25">
      <c r="A298" s="75"/>
      <c r="B298" s="79"/>
      <c r="C298" s="78"/>
      <c r="D298" s="84" t="str">
        <f t="shared" si="4"/>
        <v/>
      </c>
    </row>
    <row r="299" spans="1:4" s="69" customFormat="1" ht="16.5" x14ac:dyDescent="0.25">
      <c r="A299" s="75"/>
      <c r="B299" s="79"/>
      <c r="C299" s="78"/>
      <c r="D299" s="84" t="str">
        <f t="shared" si="4"/>
        <v/>
      </c>
    </row>
    <row r="300" spans="1:4" s="69" customFormat="1" ht="16.5" x14ac:dyDescent="0.25">
      <c r="A300" s="75"/>
      <c r="B300" s="79"/>
      <c r="C300" s="78"/>
      <c r="D300" s="84" t="str">
        <f t="shared" si="4"/>
        <v/>
      </c>
    </row>
    <row r="301" spans="1:4" s="69" customFormat="1" ht="16.5" x14ac:dyDescent="0.25">
      <c r="A301" s="75"/>
      <c r="B301" s="79"/>
      <c r="C301" s="78"/>
      <c r="D301" s="84" t="str">
        <f t="shared" si="4"/>
        <v/>
      </c>
    </row>
    <row r="302" spans="1:4" s="69" customFormat="1" ht="16.5" x14ac:dyDescent="0.25">
      <c r="A302" s="75"/>
      <c r="B302" s="79"/>
      <c r="C302" s="78"/>
      <c r="D302" s="84" t="str">
        <f t="shared" si="4"/>
        <v/>
      </c>
    </row>
    <row r="303" spans="1:4" s="69" customFormat="1" ht="16.5" x14ac:dyDescent="0.25">
      <c r="A303" s="75"/>
      <c r="B303" s="79"/>
      <c r="C303" s="78"/>
      <c r="D303" s="84" t="str">
        <f t="shared" si="4"/>
        <v/>
      </c>
    </row>
    <row r="304" spans="1:4" s="69" customFormat="1" ht="16.5" x14ac:dyDescent="0.25">
      <c r="A304" s="75"/>
      <c r="B304" s="79"/>
      <c r="C304" s="78"/>
      <c r="D304" s="84" t="str">
        <f t="shared" si="4"/>
        <v/>
      </c>
    </row>
    <row r="305" spans="1:4" s="69" customFormat="1" ht="16.5" x14ac:dyDescent="0.25">
      <c r="A305" s="75"/>
      <c r="B305" s="79"/>
      <c r="C305" s="78"/>
      <c r="D305" s="84" t="str">
        <f t="shared" si="4"/>
        <v/>
      </c>
    </row>
    <row r="306" spans="1:4" s="69" customFormat="1" ht="16.5" x14ac:dyDescent="0.25">
      <c r="A306" s="75"/>
      <c r="B306" s="79"/>
      <c r="C306" s="78"/>
      <c r="D306" s="84" t="str">
        <f t="shared" si="4"/>
        <v/>
      </c>
    </row>
    <row r="307" spans="1:4" s="69" customFormat="1" ht="16.5" x14ac:dyDescent="0.25">
      <c r="A307" s="75"/>
      <c r="B307" s="79"/>
      <c r="C307" s="78"/>
      <c r="D307" s="84" t="str">
        <f t="shared" si="4"/>
        <v/>
      </c>
    </row>
    <row r="308" spans="1:4" s="69" customFormat="1" ht="16.5" x14ac:dyDescent="0.25">
      <c r="A308" s="75"/>
      <c r="B308" s="79"/>
      <c r="C308" s="78"/>
      <c r="D308" s="84" t="str">
        <f t="shared" si="4"/>
        <v/>
      </c>
    </row>
    <row r="309" spans="1:4" s="69" customFormat="1" ht="16.5" x14ac:dyDescent="0.25">
      <c r="A309" s="75"/>
      <c r="B309" s="79"/>
      <c r="C309" s="78"/>
      <c r="D309" s="84" t="str">
        <f t="shared" si="4"/>
        <v/>
      </c>
    </row>
    <row r="310" spans="1:4" s="69" customFormat="1" ht="16.5" x14ac:dyDescent="0.25">
      <c r="A310" s="75"/>
      <c r="B310" s="79"/>
      <c r="C310" s="78"/>
      <c r="D310" s="84" t="str">
        <f t="shared" si="4"/>
        <v/>
      </c>
    </row>
    <row r="311" spans="1:4" s="69" customFormat="1" ht="16.5" x14ac:dyDescent="0.25">
      <c r="A311" s="75"/>
      <c r="B311" s="79"/>
      <c r="C311" s="78"/>
      <c r="D311" s="84" t="str">
        <f t="shared" si="4"/>
        <v/>
      </c>
    </row>
    <row r="312" spans="1:4" s="69" customFormat="1" ht="16.5" x14ac:dyDescent="0.25">
      <c r="A312" s="75"/>
      <c r="B312" s="79"/>
      <c r="C312" s="78"/>
      <c r="D312" s="84" t="str">
        <f t="shared" si="4"/>
        <v/>
      </c>
    </row>
    <row r="313" spans="1:4" s="69" customFormat="1" ht="16.5" x14ac:dyDescent="0.25">
      <c r="A313" s="75"/>
      <c r="B313" s="79"/>
      <c r="C313" s="78"/>
      <c r="D313" s="84" t="str">
        <f t="shared" si="4"/>
        <v/>
      </c>
    </row>
    <row r="314" spans="1:4" s="69" customFormat="1" ht="16.5" x14ac:dyDescent="0.25">
      <c r="A314" s="75"/>
      <c r="B314" s="79"/>
      <c r="C314" s="78"/>
      <c r="D314" s="84" t="str">
        <f t="shared" si="4"/>
        <v/>
      </c>
    </row>
    <row r="315" spans="1:4" s="69" customFormat="1" ht="16.5" x14ac:dyDescent="0.25">
      <c r="A315" s="75"/>
      <c r="B315" s="79"/>
      <c r="C315" s="78"/>
      <c r="D315" s="84" t="str">
        <f t="shared" si="4"/>
        <v/>
      </c>
    </row>
    <row r="316" spans="1:4" s="69" customFormat="1" ht="16.5" x14ac:dyDescent="0.25">
      <c r="A316" s="75"/>
      <c r="B316" s="79"/>
      <c r="C316" s="78"/>
      <c r="D316" s="84" t="str">
        <f t="shared" si="4"/>
        <v/>
      </c>
    </row>
    <row r="317" spans="1:4" s="69" customFormat="1" ht="16.5" x14ac:dyDescent="0.25">
      <c r="A317" s="75"/>
      <c r="B317" s="79"/>
      <c r="C317" s="78"/>
      <c r="D317" s="84" t="str">
        <f t="shared" si="4"/>
        <v/>
      </c>
    </row>
    <row r="318" spans="1:4" s="69" customFormat="1" ht="16.5" x14ac:dyDescent="0.25">
      <c r="A318" s="75"/>
      <c r="B318" s="79"/>
      <c r="C318" s="78"/>
      <c r="D318" s="84" t="str">
        <f t="shared" si="4"/>
        <v/>
      </c>
    </row>
    <row r="319" spans="1:4" s="69" customFormat="1" ht="16.5" x14ac:dyDescent="0.25">
      <c r="A319" s="75"/>
      <c r="B319" s="79"/>
      <c r="C319" s="78"/>
      <c r="D319" s="84" t="str">
        <f t="shared" si="4"/>
        <v/>
      </c>
    </row>
    <row r="320" spans="1:4" s="69" customFormat="1" ht="16.5" x14ac:dyDescent="0.25">
      <c r="A320" s="75"/>
      <c r="B320" s="79"/>
      <c r="C320" s="78"/>
      <c r="D320" s="84" t="str">
        <f t="shared" si="4"/>
        <v/>
      </c>
    </row>
    <row r="321" spans="1:4" s="69" customFormat="1" ht="16.5" x14ac:dyDescent="0.25">
      <c r="A321" s="75"/>
      <c r="B321" s="79"/>
      <c r="C321" s="78"/>
      <c r="D321" s="84" t="str">
        <f t="shared" si="4"/>
        <v/>
      </c>
    </row>
    <row r="322" spans="1:4" s="69" customFormat="1" ht="16.5" x14ac:dyDescent="0.25">
      <c r="A322" s="75"/>
      <c r="B322" s="79"/>
      <c r="C322" s="78"/>
      <c r="D322" s="84" t="str">
        <f t="shared" si="4"/>
        <v/>
      </c>
    </row>
    <row r="323" spans="1:4" s="69" customFormat="1" ht="16.5" x14ac:dyDescent="0.25">
      <c r="A323" s="75"/>
      <c r="B323" s="79"/>
      <c r="C323" s="78"/>
      <c r="D323" s="84" t="str">
        <f t="shared" si="4"/>
        <v/>
      </c>
    </row>
    <row r="324" spans="1:4" s="69" customFormat="1" ht="16.5" x14ac:dyDescent="0.25">
      <c r="A324" s="75"/>
      <c r="B324" s="79"/>
      <c r="C324" s="78"/>
      <c r="D324" s="84" t="str">
        <f t="shared" si="4"/>
        <v/>
      </c>
    </row>
    <row r="325" spans="1:4" s="69" customFormat="1" ht="16.5" x14ac:dyDescent="0.25">
      <c r="A325" s="75"/>
      <c r="B325" s="79"/>
      <c r="C325" s="78"/>
      <c r="D325" s="84" t="str">
        <f t="shared" si="4"/>
        <v/>
      </c>
    </row>
    <row r="326" spans="1:4" s="69" customFormat="1" ht="16.5" x14ac:dyDescent="0.25">
      <c r="A326" s="75"/>
      <c r="B326" s="79"/>
      <c r="C326" s="78"/>
      <c r="D326" s="84" t="str">
        <f t="shared" si="4"/>
        <v/>
      </c>
    </row>
    <row r="327" spans="1:4" s="69" customFormat="1" ht="16.5" x14ac:dyDescent="0.25">
      <c r="A327" s="75"/>
      <c r="B327" s="79"/>
      <c r="C327" s="78"/>
      <c r="D327" s="84" t="str">
        <f t="shared" ref="D327:D390" si="5">IF(B327&lt;&gt;"","&lt;file&gt;src\"&amp;B327&amp;".xml&lt;/file&gt;","")</f>
        <v/>
      </c>
    </row>
    <row r="328" spans="1:4" s="69" customFormat="1" ht="16.5" x14ac:dyDescent="0.25">
      <c r="A328" s="75"/>
      <c r="B328" s="79"/>
      <c r="C328" s="78"/>
      <c r="D328" s="84" t="str">
        <f t="shared" si="5"/>
        <v/>
      </c>
    </row>
    <row r="329" spans="1:4" s="69" customFormat="1" ht="16.5" x14ac:dyDescent="0.25">
      <c r="A329" s="75"/>
      <c r="B329" s="79"/>
      <c r="C329" s="78"/>
      <c r="D329" s="84" t="str">
        <f t="shared" si="5"/>
        <v/>
      </c>
    </row>
    <row r="330" spans="1:4" s="69" customFormat="1" ht="16.5" x14ac:dyDescent="0.25">
      <c r="A330" s="75"/>
      <c r="B330" s="79"/>
      <c r="C330" s="78"/>
      <c r="D330" s="84" t="str">
        <f t="shared" si="5"/>
        <v/>
      </c>
    </row>
    <row r="331" spans="1:4" s="69" customFormat="1" ht="16.5" x14ac:dyDescent="0.25">
      <c r="A331" s="75"/>
      <c r="B331" s="79"/>
      <c r="C331" s="78"/>
      <c r="D331" s="84" t="str">
        <f t="shared" si="5"/>
        <v/>
      </c>
    </row>
    <row r="332" spans="1:4" s="69" customFormat="1" ht="16.5" x14ac:dyDescent="0.25">
      <c r="A332" s="75"/>
      <c r="B332" s="79"/>
      <c r="C332" s="78"/>
      <c r="D332" s="84" t="str">
        <f t="shared" si="5"/>
        <v/>
      </c>
    </row>
    <row r="333" spans="1:4" s="69" customFormat="1" ht="16.5" x14ac:dyDescent="0.25">
      <c r="A333" s="75"/>
      <c r="B333" s="79"/>
      <c r="C333" s="78"/>
      <c r="D333" s="84" t="str">
        <f t="shared" si="5"/>
        <v/>
      </c>
    </row>
    <row r="334" spans="1:4" s="69" customFormat="1" ht="16.5" x14ac:dyDescent="0.25">
      <c r="A334" s="75"/>
      <c r="B334" s="79"/>
      <c r="C334" s="78"/>
      <c r="D334" s="84" t="str">
        <f t="shared" si="5"/>
        <v/>
      </c>
    </row>
    <row r="335" spans="1:4" s="69" customFormat="1" ht="16.5" x14ac:dyDescent="0.25">
      <c r="A335" s="75"/>
      <c r="B335" s="79"/>
      <c r="C335" s="78"/>
      <c r="D335" s="84" t="str">
        <f t="shared" si="5"/>
        <v/>
      </c>
    </row>
    <row r="336" spans="1:4" s="69" customFormat="1" ht="16.5" x14ac:dyDescent="0.25">
      <c r="A336" s="75"/>
      <c r="B336" s="79"/>
      <c r="C336" s="78"/>
      <c r="D336" s="84" t="str">
        <f t="shared" si="5"/>
        <v/>
      </c>
    </row>
    <row r="337" spans="1:4" s="69" customFormat="1" ht="16.5" x14ac:dyDescent="0.25">
      <c r="A337" s="75"/>
      <c r="B337" s="79"/>
      <c r="C337" s="78"/>
      <c r="D337" s="84" t="str">
        <f t="shared" si="5"/>
        <v/>
      </c>
    </row>
    <row r="338" spans="1:4" s="69" customFormat="1" ht="16.5" x14ac:dyDescent="0.25">
      <c r="A338" s="75"/>
      <c r="B338" s="79"/>
      <c r="C338" s="78"/>
      <c r="D338" s="84" t="str">
        <f t="shared" si="5"/>
        <v/>
      </c>
    </row>
    <row r="339" spans="1:4" s="69" customFormat="1" ht="16.5" x14ac:dyDescent="0.25">
      <c r="A339" s="75"/>
      <c r="B339" s="79"/>
      <c r="C339" s="78"/>
      <c r="D339" s="84" t="str">
        <f t="shared" si="5"/>
        <v/>
      </c>
    </row>
    <row r="340" spans="1:4" s="69" customFormat="1" ht="16.5" x14ac:dyDescent="0.25">
      <c r="A340" s="75"/>
      <c r="B340" s="79"/>
      <c r="C340" s="78"/>
      <c r="D340" s="84" t="str">
        <f t="shared" si="5"/>
        <v/>
      </c>
    </row>
    <row r="341" spans="1:4" s="69" customFormat="1" ht="16.5" x14ac:dyDescent="0.25">
      <c r="A341" s="75"/>
      <c r="B341" s="79"/>
      <c r="C341" s="78"/>
      <c r="D341" s="84" t="str">
        <f t="shared" si="5"/>
        <v/>
      </c>
    </row>
    <row r="342" spans="1:4" s="69" customFormat="1" ht="16.5" x14ac:dyDescent="0.25">
      <c r="A342" s="75"/>
      <c r="B342" s="79"/>
      <c r="C342" s="78"/>
      <c r="D342" s="84" t="str">
        <f t="shared" si="5"/>
        <v/>
      </c>
    </row>
    <row r="343" spans="1:4" s="69" customFormat="1" ht="16.5" x14ac:dyDescent="0.25">
      <c r="A343" s="75"/>
      <c r="B343" s="79"/>
      <c r="C343" s="78"/>
      <c r="D343" s="84" t="str">
        <f t="shared" si="5"/>
        <v/>
      </c>
    </row>
    <row r="344" spans="1:4" s="69" customFormat="1" ht="16.5" x14ac:dyDescent="0.25">
      <c r="A344" s="75"/>
      <c r="B344" s="79"/>
      <c r="C344" s="78"/>
      <c r="D344" s="84" t="str">
        <f t="shared" si="5"/>
        <v/>
      </c>
    </row>
    <row r="345" spans="1:4" s="69" customFormat="1" ht="16.5" x14ac:dyDescent="0.25">
      <c r="A345" s="75"/>
      <c r="B345" s="79"/>
      <c r="C345" s="78"/>
      <c r="D345" s="84" t="str">
        <f t="shared" si="5"/>
        <v/>
      </c>
    </row>
    <row r="346" spans="1:4" s="69" customFormat="1" ht="16.5" x14ac:dyDescent="0.25">
      <c r="A346" s="75"/>
      <c r="B346" s="79"/>
      <c r="C346" s="78"/>
      <c r="D346" s="84" t="str">
        <f t="shared" si="5"/>
        <v/>
      </c>
    </row>
    <row r="347" spans="1:4" s="69" customFormat="1" ht="16.5" x14ac:dyDescent="0.25">
      <c r="A347" s="75"/>
      <c r="B347" s="79"/>
      <c r="C347" s="78"/>
      <c r="D347" s="84" t="str">
        <f t="shared" si="5"/>
        <v/>
      </c>
    </row>
    <row r="348" spans="1:4" s="69" customFormat="1" ht="16.5" x14ac:dyDescent="0.25">
      <c r="A348" s="75"/>
      <c r="B348" s="79"/>
      <c r="C348" s="78"/>
      <c r="D348" s="84" t="str">
        <f t="shared" si="5"/>
        <v/>
      </c>
    </row>
    <row r="349" spans="1:4" s="69" customFormat="1" ht="16.5" x14ac:dyDescent="0.25">
      <c r="A349" s="75"/>
      <c r="B349" s="79"/>
      <c r="C349" s="78"/>
      <c r="D349" s="84" t="str">
        <f t="shared" si="5"/>
        <v/>
      </c>
    </row>
    <row r="350" spans="1:4" s="69" customFormat="1" ht="16.5" x14ac:dyDescent="0.25">
      <c r="A350" s="75"/>
      <c r="B350" s="79"/>
      <c r="C350" s="78"/>
      <c r="D350" s="84" t="str">
        <f t="shared" si="5"/>
        <v/>
      </c>
    </row>
    <row r="351" spans="1:4" s="69" customFormat="1" ht="16.5" x14ac:dyDescent="0.25">
      <c r="A351" s="75"/>
      <c r="B351" s="79"/>
      <c r="C351" s="78"/>
      <c r="D351" s="84" t="str">
        <f t="shared" si="5"/>
        <v/>
      </c>
    </row>
    <row r="352" spans="1:4" s="69" customFormat="1" ht="16.5" x14ac:dyDescent="0.25">
      <c r="A352" s="75"/>
      <c r="B352" s="79"/>
      <c r="C352" s="78"/>
      <c r="D352" s="84" t="str">
        <f t="shared" si="5"/>
        <v/>
      </c>
    </row>
    <row r="353" spans="1:4" s="69" customFormat="1" ht="16.5" x14ac:dyDescent="0.25">
      <c r="A353" s="75"/>
      <c r="B353" s="79"/>
      <c r="C353" s="78"/>
      <c r="D353" s="84" t="str">
        <f t="shared" si="5"/>
        <v/>
      </c>
    </row>
    <row r="354" spans="1:4" s="69" customFormat="1" ht="16.5" x14ac:dyDescent="0.25">
      <c r="A354" s="75"/>
      <c r="B354" s="79"/>
      <c r="C354" s="78"/>
      <c r="D354" s="84" t="str">
        <f t="shared" si="5"/>
        <v/>
      </c>
    </row>
    <row r="355" spans="1:4" s="69" customFormat="1" ht="16.5" x14ac:dyDescent="0.25">
      <c r="A355" s="75"/>
      <c r="B355" s="79"/>
      <c r="C355" s="78"/>
      <c r="D355" s="84" t="str">
        <f t="shared" si="5"/>
        <v/>
      </c>
    </row>
    <row r="356" spans="1:4" s="69" customFormat="1" ht="16.5" x14ac:dyDescent="0.25">
      <c r="A356" s="75"/>
      <c r="B356" s="79"/>
      <c r="C356" s="78"/>
      <c r="D356" s="84" t="str">
        <f t="shared" si="5"/>
        <v/>
      </c>
    </row>
    <row r="357" spans="1:4" s="69" customFormat="1" ht="16.5" x14ac:dyDescent="0.25">
      <c r="A357" s="75"/>
      <c r="B357" s="79"/>
      <c r="C357" s="78"/>
      <c r="D357" s="84" t="str">
        <f t="shared" si="5"/>
        <v/>
      </c>
    </row>
    <row r="358" spans="1:4" s="69" customFormat="1" ht="16.5" x14ac:dyDescent="0.25">
      <c r="A358" s="75"/>
      <c r="B358" s="79"/>
      <c r="C358" s="78"/>
      <c r="D358" s="84" t="str">
        <f t="shared" si="5"/>
        <v/>
      </c>
    </row>
    <row r="359" spans="1:4" s="69" customFormat="1" ht="16.5" x14ac:dyDescent="0.25">
      <c r="A359" s="75"/>
      <c r="B359" s="79"/>
      <c r="C359" s="78"/>
      <c r="D359" s="84" t="str">
        <f t="shared" si="5"/>
        <v/>
      </c>
    </row>
    <row r="360" spans="1:4" s="69" customFormat="1" ht="16.5" x14ac:dyDescent="0.25">
      <c r="A360" s="75"/>
      <c r="B360" s="79"/>
      <c r="C360" s="78"/>
      <c r="D360" s="84" t="str">
        <f t="shared" si="5"/>
        <v/>
      </c>
    </row>
    <row r="361" spans="1:4" s="69" customFormat="1" ht="16.5" x14ac:dyDescent="0.25">
      <c r="A361" s="75"/>
      <c r="B361" s="79"/>
      <c r="C361" s="78"/>
      <c r="D361" s="84" t="str">
        <f t="shared" si="5"/>
        <v/>
      </c>
    </row>
    <row r="362" spans="1:4" s="69" customFormat="1" ht="16.5" x14ac:dyDescent="0.25">
      <c r="A362" s="75"/>
      <c r="B362" s="79"/>
      <c r="C362" s="78"/>
      <c r="D362" s="84" t="str">
        <f t="shared" si="5"/>
        <v/>
      </c>
    </row>
    <row r="363" spans="1:4" s="69" customFormat="1" ht="16.5" x14ac:dyDescent="0.25">
      <c r="A363" s="75"/>
      <c r="B363" s="79"/>
      <c r="C363" s="78"/>
      <c r="D363" s="84" t="str">
        <f t="shared" si="5"/>
        <v/>
      </c>
    </row>
    <row r="364" spans="1:4" s="69" customFormat="1" ht="16.5" x14ac:dyDescent="0.25">
      <c r="A364" s="75"/>
      <c r="B364" s="79"/>
      <c r="C364" s="78"/>
      <c r="D364" s="84" t="str">
        <f t="shared" si="5"/>
        <v/>
      </c>
    </row>
    <row r="365" spans="1:4" s="69" customFormat="1" ht="16.5" x14ac:dyDescent="0.25">
      <c r="A365" s="75"/>
      <c r="B365" s="79"/>
      <c r="C365" s="78"/>
      <c r="D365" s="84" t="str">
        <f t="shared" si="5"/>
        <v/>
      </c>
    </row>
    <row r="366" spans="1:4" s="69" customFormat="1" ht="16.5" x14ac:dyDescent="0.25">
      <c r="A366" s="75"/>
      <c r="B366" s="79"/>
      <c r="C366" s="78"/>
      <c r="D366" s="84" t="str">
        <f t="shared" si="5"/>
        <v/>
      </c>
    </row>
    <row r="367" spans="1:4" s="69" customFormat="1" ht="16.5" x14ac:dyDescent="0.25">
      <c r="A367" s="75"/>
      <c r="B367" s="79"/>
      <c r="C367" s="78"/>
      <c r="D367" s="84" t="str">
        <f t="shared" si="5"/>
        <v/>
      </c>
    </row>
    <row r="368" spans="1:4" s="69" customFormat="1" ht="16.5" x14ac:dyDescent="0.25">
      <c r="A368" s="75"/>
      <c r="B368" s="79"/>
      <c r="C368" s="78"/>
      <c r="D368" s="84" t="str">
        <f t="shared" si="5"/>
        <v/>
      </c>
    </row>
    <row r="369" spans="1:4" s="69" customFormat="1" ht="16.5" x14ac:dyDescent="0.25">
      <c r="A369" s="75"/>
      <c r="B369" s="79"/>
      <c r="C369" s="78"/>
      <c r="D369" s="84" t="str">
        <f t="shared" si="5"/>
        <v/>
      </c>
    </row>
    <row r="370" spans="1:4" s="69" customFormat="1" ht="16.5" x14ac:dyDescent="0.25">
      <c r="A370" s="75"/>
      <c r="B370" s="79"/>
      <c r="C370" s="78"/>
      <c r="D370" s="84" t="str">
        <f t="shared" si="5"/>
        <v/>
      </c>
    </row>
    <row r="371" spans="1:4" s="69" customFormat="1" ht="16.5" x14ac:dyDescent="0.25">
      <c r="A371" s="75"/>
      <c r="B371" s="79"/>
      <c r="C371" s="78"/>
      <c r="D371" s="84" t="str">
        <f t="shared" si="5"/>
        <v/>
      </c>
    </row>
    <row r="372" spans="1:4" s="69" customFormat="1" ht="16.5" x14ac:dyDescent="0.25">
      <c r="A372" s="75"/>
      <c r="B372" s="79"/>
      <c r="C372" s="78"/>
      <c r="D372" s="84" t="str">
        <f t="shared" si="5"/>
        <v/>
      </c>
    </row>
    <row r="373" spans="1:4" s="69" customFormat="1" ht="16.5" x14ac:dyDescent="0.25">
      <c r="A373" s="75"/>
      <c r="B373" s="79"/>
      <c r="C373" s="78"/>
      <c r="D373" s="84" t="str">
        <f t="shared" si="5"/>
        <v/>
      </c>
    </row>
    <row r="374" spans="1:4" s="69" customFormat="1" ht="16.5" x14ac:dyDescent="0.25">
      <c r="A374" s="75"/>
      <c r="B374" s="79"/>
      <c r="C374" s="78"/>
      <c r="D374" s="84" t="str">
        <f t="shared" si="5"/>
        <v/>
      </c>
    </row>
    <row r="375" spans="1:4" s="69" customFormat="1" ht="16.5" x14ac:dyDescent="0.25">
      <c r="A375" s="75"/>
      <c r="B375" s="79"/>
      <c r="C375" s="78"/>
      <c r="D375" s="84" t="str">
        <f t="shared" si="5"/>
        <v/>
      </c>
    </row>
    <row r="376" spans="1:4" s="69" customFormat="1" ht="16.5" x14ac:dyDescent="0.25">
      <c r="A376" s="75"/>
      <c r="B376" s="79"/>
      <c r="C376" s="78"/>
      <c r="D376" s="84" t="str">
        <f t="shared" si="5"/>
        <v/>
      </c>
    </row>
    <row r="377" spans="1:4" s="69" customFormat="1" ht="16.5" x14ac:dyDescent="0.25">
      <c r="A377" s="75"/>
      <c r="B377" s="79"/>
      <c r="C377" s="78"/>
      <c r="D377" s="84" t="str">
        <f t="shared" si="5"/>
        <v/>
      </c>
    </row>
    <row r="378" spans="1:4" s="69" customFormat="1" ht="16.5" x14ac:dyDescent="0.25">
      <c r="A378" s="75"/>
      <c r="B378" s="79"/>
      <c r="C378" s="78"/>
      <c r="D378" s="84" t="str">
        <f t="shared" si="5"/>
        <v/>
      </c>
    </row>
    <row r="379" spans="1:4" s="69" customFormat="1" ht="16.5" x14ac:dyDescent="0.25">
      <c r="A379" s="75"/>
      <c r="B379" s="79"/>
      <c r="C379" s="78"/>
      <c r="D379" s="84" t="str">
        <f t="shared" si="5"/>
        <v/>
      </c>
    </row>
    <row r="380" spans="1:4" s="69" customFormat="1" ht="16.5" x14ac:dyDescent="0.25">
      <c r="A380" s="75"/>
      <c r="B380" s="79"/>
      <c r="C380" s="78"/>
      <c r="D380" s="84" t="str">
        <f t="shared" si="5"/>
        <v/>
      </c>
    </row>
    <row r="381" spans="1:4" s="69" customFormat="1" ht="16.5" x14ac:dyDescent="0.25">
      <c r="A381" s="75"/>
      <c r="B381" s="79"/>
      <c r="C381" s="78"/>
      <c r="D381" s="84" t="str">
        <f t="shared" si="5"/>
        <v/>
      </c>
    </row>
    <row r="382" spans="1:4" s="69" customFormat="1" ht="16.5" x14ac:dyDescent="0.25">
      <c r="A382" s="75"/>
      <c r="B382" s="79"/>
      <c r="C382" s="78"/>
      <c r="D382" s="84" t="str">
        <f t="shared" si="5"/>
        <v/>
      </c>
    </row>
    <row r="383" spans="1:4" s="69" customFormat="1" ht="16.5" x14ac:dyDescent="0.25">
      <c r="A383" s="75"/>
      <c r="B383" s="79"/>
      <c r="C383" s="78"/>
      <c r="D383" s="84" t="str">
        <f t="shared" si="5"/>
        <v/>
      </c>
    </row>
    <row r="384" spans="1:4" s="69" customFormat="1" ht="16.5" x14ac:dyDescent="0.25">
      <c r="A384" s="75"/>
      <c r="B384" s="79"/>
      <c r="C384" s="78"/>
      <c r="D384" s="84" t="str">
        <f t="shared" si="5"/>
        <v/>
      </c>
    </row>
    <row r="385" spans="1:4" s="69" customFormat="1" ht="16.5" x14ac:dyDescent="0.25">
      <c r="A385" s="75"/>
      <c r="B385" s="79"/>
      <c r="C385" s="78"/>
      <c r="D385" s="84" t="str">
        <f t="shared" si="5"/>
        <v/>
      </c>
    </row>
    <row r="386" spans="1:4" s="69" customFormat="1" ht="16.5" x14ac:dyDescent="0.25">
      <c r="A386" s="75"/>
      <c r="B386" s="79"/>
      <c r="C386" s="78"/>
      <c r="D386" s="84" t="str">
        <f t="shared" si="5"/>
        <v/>
      </c>
    </row>
    <row r="387" spans="1:4" s="69" customFormat="1" ht="16.5" x14ac:dyDescent="0.25">
      <c r="A387" s="75"/>
      <c r="B387" s="79"/>
      <c r="C387" s="78"/>
      <c r="D387" s="84" t="str">
        <f t="shared" si="5"/>
        <v/>
      </c>
    </row>
    <row r="388" spans="1:4" s="69" customFormat="1" ht="16.5" x14ac:dyDescent="0.25">
      <c r="A388" s="75"/>
      <c r="B388" s="79"/>
      <c r="C388" s="78"/>
      <c r="D388" s="84" t="str">
        <f t="shared" si="5"/>
        <v/>
      </c>
    </row>
    <row r="389" spans="1:4" s="69" customFormat="1" ht="16.5" x14ac:dyDescent="0.25">
      <c r="A389" s="75"/>
      <c r="B389" s="79"/>
      <c r="C389" s="78"/>
      <c r="D389" s="84" t="str">
        <f t="shared" si="5"/>
        <v/>
      </c>
    </row>
    <row r="390" spans="1:4" s="69" customFormat="1" ht="16.5" x14ac:dyDescent="0.25">
      <c r="A390" s="75"/>
      <c r="B390" s="79"/>
      <c r="C390" s="78"/>
      <c r="D390" s="84" t="str">
        <f t="shared" si="5"/>
        <v/>
      </c>
    </row>
    <row r="391" spans="1:4" s="69" customFormat="1" ht="16.5" x14ac:dyDescent="0.25">
      <c r="A391" s="75"/>
      <c r="B391" s="79"/>
      <c r="C391" s="78"/>
      <c r="D391" s="84" t="str">
        <f t="shared" ref="D391:D454" si="6">IF(B391&lt;&gt;"","&lt;file&gt;src\"&amp;B391&amp;".xml&lt;/file&gt;","")</f>
        <v/>
      </c>
    </row>
    <row r="392" spans="1:4" s="69" customFormat="1" ht="16.5" x14ac:dyDescent="0.25">
      <c r="A392" s="75"/>
      <c r="B392" s="79"/>
      <c r="C392" s="78"/>
      <c r="D392" s="84" t="str">
        <f t="shared" si="6"/>
        <v/>
      </c>
    </row>
    <row r="393" spans="1:4" s="69" customFormat="1" ht="16.5" x14ac:dyDescent="0.25">
      <c r="A393" s="75"/>
      <c r="B393" s="79"/>
      <c r="C393" s="78"/>
      <c r="D393" s="84" t="str">
        <f t="shared" si="6"/>
        <v/>
      </c>
    </row>
    <row r="394" spans="1:4" s="69" customFormat="1" ht="16.5" x14ac:dyDescent="0.25">
      <c r="A394" s="75"/>
      <c r="B394" s="79"/>
      <c r="C394" s="78"/>
      <c r="D394" s="84" t="str">
        <f t="shared" si="6"/>
        <v/>
      </c>
    </row>
    <row r="395" spans="1:4" s="69" customFormat="1" ht="16.5" x14ac:dyDescent="0.25">
      <c r="A395" s="75"/>
      <c r="B395" s="79"/>
      <c r="C395" s="78"/>
      <c r="D395" s="84" t="str">
        <f t="shared" si="6"/>
        <v/>
      </c>
    </row>
    <row r="396" spans="1:4" s="69" customFormat="1" ht="16.5" x14ac:dyDescent="0.25">
      <c r="A396" s="75"/>
      <c r="B396" s="79"/>
      <c r="C396" s="78"/>
      <c r="D396" s="84" t="str">
        <f t="shared" si="6"/>
        <v/>
      </c>
    </row>
    <row r="397" spans="1:4" s="69" customFormat="1" ht="16.5" x14ac:dyDescent="0.25">
      <c r="A397" s="75"/>
      <c r="B397" s="79"/>
      <c r="C397" s="78"/>
      <c r="D397" s="84" t="str">
        <f t="shared" si="6"/>
        <v/>
      </c>
    </row>
    <row r="398" spans="1:4" s="69" customFormat="1" ht="16.5" x14ac:dyDescent="0.25">
      <c r="A398" s="75"/>
      <c r="B398" s="79"/>
      <c r="C398" s="78"/>
      <c r="D398" s="84" t="str">
        <f t="shared" si="6"/>
        <v/>
      </c>
    </row>
    <row r="399" spans="1:4" s="69" customFormat="1" ht="16.5" x14ac:dyDescent="0.25">
      <c r="A399" s="75"/>
      <c r="B399" s="79"/>
      <c r="C399" s="78"/>
      <c r="D399" s="84" t="str">
        <f t="shared" si="6"/>
        <v/>
      </c>
    </row>
    <row r="400" spans="1:4" s="69" customFormat="1" ht="16.5" x14ac:dyDescent="0.25">
      <c r="A400" s="75"/>
      <c r="B400" s="79"/>
      <c r="C400" s="78"/>
      <c r="D400" s="84" t="str">
        <f t="shared" si="6"/>
        <v/>
      </c>
    </row>
    <row r="401" spans="1:4" s="69" customFormat="1" ht="16.5" x14ac:dyDescent="0.25">
      <c r="A401" s="75"/>
      <c r="B401" s="79"/>
      <c r="C401" s="78"/>
      <c r="D401" s="84" t="str">
        <f t="shared" si="6"/>
        <v/>
      </c>
    </row>
    <row r="402" spans="1:4" s="69" customFormat="1" ht="16.5" x14ac:dyDescent="0.25">
      <c r="A402" s="75"/>
      <c r="B402" s="79"/>
      <c r="C402" s="78"/>
      <c r="D402" s="84" t="str">
        <f t="shared" si="6"/>
        <v/>
      </c>
    </row>
    <row r="403" spans="1:4" s="69" customFormat="1" ht="16.5" x14ac:dyDescent="0.25">
      <c r="A403" s="75"/>
      <c r="B403" s="79"/>
      <c r="C403" s="78"/>
      <c r="D403" s="84" t="str">
        <f t="shared" si="6"/>
        <v/>
      </c>
    </row>
    <row r="404" spans="1:4" s="69" customFormat="1" ht="16.5" x14ac:dyDescent="0.25">
      <c r="A404" s="75"/>
      <c r="B404" s="79"/>
      <c r="C404" s="78"/>
      <c r="D404" s="84" t="str">
        <f t="shared" si="6"/>
        <v/>
      </c>
    </row>
    <row r="405" spans="1:4" s="69" customFormat="1" ht="16.5" x14ac:dyDescent="0.25">
      <c r="A405" s="75"/>
      <c r="B405" s="79"/>
      <c r="C405" s="78"/>
      <c r="D405" s="84" t="str">
        <f t="shared" si="6"/>
        <v/>
      </c>
    </row>
    <row r="406" spans="1:4" s="69" customFormat="1" ht="16.5" x14ac:dyDescent="0.25">
      <c r="A406" s="75"/>
      <c r="B406" s="79"/>
      <c r="C406" s="78"/>
      <c r="D406" s="84" t="str">
        <f t="shared" si="6"/>
        <v/>
      </c>
    </row>
    <row r="407" spans="1:4" s="69" customFormat="1" ht="16.5" x14ac:dyDescent="0.25">
      <c r="A407" s="75"/>
      <c r="B407" s="79"/>
      <c r="C407" s="78"/>
      <c r="D407" s="84" t="str">
        <f t="shared" si="6"/>
        <v/>
      </c>
    </row>
    <row r="408" spans="1:4" s="69" customFormat="1" ht="16.5" x14ac:dyDescent="0.25">
      <c r="A408" s="75"/>
      <c r="B408" s="79"/>
      <c r="C408" s="78"/>
      <c r="D408" s="84" t="str">
        <f t="shared" si="6"/>
        <v/>
      </c>
    </row>
    <row r="409" spans="1:4" s="69" customFormat="1" ht="16.5" x14ac:dyDescent="0.25">
      <c r="A409" s="75"/>
      <c r="B409" s="79"/>
      <c r="C409" s="78"/>
      <c r="D409" s="84" t="str">
        <f t="shared" si="6"/>
        <v/>
      </c>
    </row>
    <row r="410" spans="1:4" s="69" customFormat="1" ht="16.5" x14ac:dyDescent="0.25">
      <c r="A410" s="75"/>
      <c r="B410" s="79"/>
      <c r="C410" s="78"/>
      <c r="D410" s="84" t="str">
        <f t="shared" si="6"/>
        <v/>
      </c>
    </row>
    <row r="411" spans="1:4" s="69" customFormat="1" ht="16.5" x14ac:dyDescent="0.25">
      <c r="A411" s="75"/>
      <c r="B411" s="79"/>
      <c r="C411" s="78"/>
      <c r="D411" s="84" t="str">
        <f t="shared" si="6"/>
        <v/>
      </c>
    </row>
    <row r="412" spans="1:4" s="69" customFormat="1" ht="16.5" x14ac:dyDescent="0.25">
      <c r="A412" s="75"/>
      <c r="B412" s="79"/>
      <c r="C412" s="78"/>
      <c r="D412" s="84" t="str">
        <f t="shared" si="6"/>
        <v/>
      </c>
    </row>
    <row r="413" spans="1:4" s="69" customFormat="1" ht="16.5" x14ac:dyDescent="0.25">
      <c r="A413" s="75"/>
      <c r="B413" s="79"/>
      <c r="C413" s="78"/>
      <c r="D413" s="84" t="str">
        <f t="shared" si="6"/>
        <v/>
      </c>
    </row>
    <row r="414" spans="1:4" s="69" customFormat="1" ht="16.5" x14ac:dyDescent="0.25">
      <c r="A414" s="75"/>
      <c r="B414" s="79"/>
      <c r="C414" s="78"/>
      <c r="D414" s="84" t="str">
        <f t="shared" si="6"/>
        <v/>
      </c>
    </row>
    <row r="415" spans="1:4" s="69" customFormat="1" ht="16.5" x14ac:dyDescent="0.25">
      <c r="A415" s="75"/>
      <c r="B415" s="79"/>
      <c r="C415" s="78"/>
      <c r="D415" s="84" t="str">
        <f t="shared" si="6"/>
        <v/>
      </c>
    </row>
    <row r="416" spans="1:4" s="69" customFormat="1" ht="16.5" x14ac:dyDescent="0.25">
      <c r="A416" s="75"/>
      <c r="B416" s="79"/>
      <c r="C416" s="78"/>
      <c r="D416" s="84" t="str">
        <f t="shared" si="6"/>
        <v/>
      </c>
    </row>
    <row r="417" spans="1:4" s="69" customFormat="1" ht="16.5" x14ac:dyDescent="0.25">
      <c r="A417" s="75"/>
      <c r="B417" s="79"/>
      <c r="C417" s="78"/>
      <c r="D417" s="84" t="str">
        <f t="shared" si="6"/>
        <v/>
      </c>
    </row>
    <row r="418" spans="1:4" s="69" customFormat="1" ht="16.5" x14ac:dyDescent="0.25">
      <c r="A418" s="75"/>
      <c r="B418" s="79"/>
      <c r="C418" s="78"/>
      <c r="D418" s="84" t="str">
        <f t="shared" si="6"/>
        <v/>
      </c>
    </row>
    <row r="419" spans="1:4" s="69" customFormat="1" ht="16.5" x14ac:dyDescent="0.25">
      <c r="A419" s="75"/>
      <c r="B419" s="79"/>
      <c r="C419" s="78"/>
      <c r="D419" s="84" t="str">
        <f t="shared" si="6"/>
        <v/>
      </c>
    </row>
    <row r="420" spans="1:4" s="69" customFormat="1" ht="16.5" x14ac:dyDescent="0.25">
      <c r="A420" s="75"/>
      <c r="B420" s="79"/>
      <c r="C420" s="78"/>
      <c r="D420" s="84" t="str">
        <f t="shared" si="6"/>
        <v/>
      </c>
    </row>
    <row r="421" spans="1:4" s="69" customFormat="1" ht="16.5" x14ac:dyDescent="0.25">
      <c r="A421" s="75"/>
      <c r="B421" s="79"/>
      <c r="C421" s="78"/>
      <c r="D421" s="84" t="str">
        <f t="shared" si="6"/>
        <v/>
      </c>
    </row>
    <row r="422" spans="1:4" s="69" customFormat="1" ht="16.5" x14ac:dyDescent="0.25">
      <c r="A422" s="75"/>
      <c r="B422" s="79"/>
      <c r="C422" s="78"/>
      <c r="D422" s="84" t="str">
        <f t="shared" si="6"/>
        <v/>
      </c>
    </row>
    <row r="423" spans="1:4" s="69" customFormat="1" ht="16.5" x14ac:dyDescent="0.25">
      <c r="A423" s="75"/>
      <c r="B423" s="79"/>
      <c r="C423" s="78"/>
      <c r="D423" s="84" t="str">
        <f t="shared" si="6"/>
        <v/>
      </c>
    </row>
    <row r="424" spans="1:4" s="69" customFormat="1" ht="16.5" x14ac:dyDescent="0.25">
      <c r="A424" s="75"/>
      <c r="B424" s="79"/>
      <c r="C424" s="78"/>
      <c r="D424" s="84" t="str">
        <f t="shared" si="6"/>
        <v/>
      </c>
    </row>
    <row r="425" spans="1:4" s="69" customFormat="1" ht="16.5" x14ac:dyDescent="0.25">
      <c r="A425" s="75"/>
      <c r="B425" s="79"/>
      <c r="C425" s="78"/>
      <c r="D425" s="84" t="str">
        <f t="shared" si="6"/>
        <v/>
      </c>
    </row>
    <row r="426" spans="1:4" s="69" customFormat="1" ht="16.5" x14ac:dyDescent="0.25">
      <c r="A426" s="75"/>
      <c r="B426" s="79"/>
      <c r="C426" s="78"/>
      <c r="D426" s="84" t="str">
        <f t="shared" si="6"/>
        <v/>
      </c>
    </row>
    <row r="427" spans="1:4" s="69" customFormat="1" ht="16.5" x14ac:dyDescent="0.25">
      <c r="A427" s="75"/>
      <c r="B427" s="79"/>
      <c r="C427" s="78"/>
      <c r="D427" s="84" t="str">
        <f t="shared" si="6"/>
        <v/>
      </c>
    </row>
    <row r="428" spans="1:4" s="69" customFormat="1" ht="16.5" x14ac:dyDescent="0.25">
      <c r="A428" s="75"/>
      <c r="B428" s="79"/>
      <c r="C428" s="78"/>
      <c r="D428" s="84" t="str">
        <f t="shared" si="6"/>
        <v/>
      </c>
    </row>
    <row r="429" spans="1:4" s="69" customFormat="1" ht="16.5" x14ac:dyDescent="0.25">
      <c r="A429" s="75"/>
      <c r="B429" s="79"/>
      <c r="C429" s="78"/>
      <c r="D429" s="84" t="str">
        <f t="shared" si="6"/>
        <v/>
      </c>
    </row>
    <row r="430" spans="1:4" s="69" customFormat="1" ht="16.5" x14ac:dyDescent="0.25">
      <c r="A430" s="75"/>
      <c r="B430" s="79"/>
      <c r="C430" s="78"/>
      <c r="D430" s="84" t="str">
        <f t="shared" si="6"/>
        <v/>
      </c>
    </row>
    <row r="431" spans="1:4" s="69" customFormat="1" ht="16.5" x14ac:dyDescent="0.25">
      <c r="A431" s="75"/>
      <c r="B431" s="79"/>
      <c r="C431" s="78"/>
      <c r="D431" s="84" t="str">
        <f t="shared" si="6"/>
        <v/>
      </c>
    </row>
    <row r="432" spans="1:4" s="69" customFormat="1" ht="16.5" x14ac:dyDescent="0.25">
      <c r="A432" s="75"/>
      <c r="B432" s="79"/>
      <c r="C432" s="78"/>
      <c r="D432" s="84" t="str">
        <f t="shared" si="6"/>
        <v/>
      </c>
    </row>
    <row r="433" spans="1:4" s="69" customFormat="1" ht="16.5" x14ac:dyDescent="0.25">
      <c r="A433" s="75"/>
      <c r="B433" s="79"/>
      <c r="C433" s="78"/>
      <c r="D433" s="84" t="str">
        <f t="shared" si="6"/>
        <v/>
      </c>
    </row>
    <row r="434" spans="1:4" s="69" customFormat="1" ht="16.5" x14ac:dyDescent="0.25">
      <c r="A434" s="75"/>
      <c r="B434" s="79"/>
      <c r="C434" s="78"/>
      <c r="D434" s="84" t="str">
        <f t="shared" si="6"/>
        <v/>
      </c>
    </row>
    <row r="435" spans="1:4" s="69" customFormat="1" ht="16.5" x14ac:dyDescent="0.25">
      <c r="A435" s="75"/>
      <c r="B435" s="79"/>
      <c r="C435" s="78"/>
      <c r="D435" s="84" t="str">
        <f t="shared" si="6"/>
        <v/>
      </c>
    </row>
    <row r="436" spans="1:4" s="69" customFormat="1" ht="16.5" x14ac:dyDescent="0.25">
      <c r="A436" s="75"/>
      <c r="B436" s="79"/>
      <c r="C436" s="78"/>
      <c r="D436" s="84" t="str">
        <f t="shared" si="6"/>
        <v/>
      </c>
    </row>
    <row r="437" spans="1:4" s="69" customFormat="1" ht="16.5" x14ac:dyDescent="0.25">
      <c r="A437" s="75"/>
      <c r="B437" s="79"/>
      <c r="C437" s="78"/>
      <c r="D437" s="84" t="str">
        <f t="shared" si="6"/>
        <v/>
      </c>
    </row>
    <row r="438" spans="1:4" s="69" customFormat="1" ht="16.5" x14ac:dyDescent="0.25">
      <c r="A438" s="75"/>
      <c r="B438" s="79"/>
      <c r="C438" s="78"/>
      <c r="D438" s="84" t="str">
        <f t="shared" si="6"/>
        <v/>
      </c>
    </row>
    <row r="439" spans="1:4" s="69" customFormat="1" ht="16.5" x14ac:dyDescent="0.25">
      <c r="A439" s="75"/>
      <c r="B439" s="79"/>
      <c r="C439" s="78"/>
      <c r="D439" s="84" t="str">
        <f t="shared" si="6"/>
        <v/>
      </c>
    </row>
    <row r="440" spans="1:4" s="69" customFormat="1" ht="16.5" x14ac:dyDescent="0.25">
      <c r="A440" s="75"/>
      <c r="B440" s="79"/>
      <c r="C440" s="78"/>
      <c r="D440" s="84" t="str">
        <f t="shared" si="6"/>
        <v/>
      </c>
    </row>
    <row r="441" spans="1:4" s="69" customFormat="1" ht="16.5" x14ac:dyDescent="0.25">
      <c r="A441" s="75"/>
      <c r="B441" s="79"/>
      <c r="C441" s="78"/>
      <c r="D441" s="84" t="str">
        <f t="shared" si="6"/>
        <v/>
      </c>
    </row>
    <row r="442" spans="1:4" s="69" customFormat="1" ht="16.5" x14ac:dyDescent="0.25">
      <c r="A442" s="75"/>
      <c r="B442" s="79"/>
      <c r="C442" s="78"/>
      <c r="D442" s="84" t="str">
        <f t="shared" si="6"/>
        <v/>
      </c>
    </row>
    <row r="443" spans="1:4" s="69" customFormat="1" ht="16.5" x14ac:dyDescent="0.25">
      <c r="A443" s="75"/>
      <c r="B443" s="79"/>
      <c r="C443" s="78"/>
      <c r="D443" s="84" t="str">
        <f t="shared" si="6"/>
        <v/>
      </c>
    </row>
    <row r="444" spans="1:4" s="69" customFormat="1" ht="16.5" x14ac:dyDescent="0.25">
      <c r="A444" s="75"/>
      <c r="B444" s="79"/>
      <c r="C444" s="78"/>
      <c r="D444" s="84" t="str">
        <f t="shared" si="6"/>
        <v/>
      </c>
    </row>
    <row r="445" spans="1:4" s="69" customFormat="1" ht="16.5" x14ac:dyDescent="0.25">
      <c r="A445" s="75"/>
      <c r="B445" s="79"/>
      <c r="C445" s="78"/>
      <c r="D445" s="84" t="str">
        <f t="shared" si="6"/>
        <v/>
      </c>
    </row>
    <row r="446" spans="1:4" s="69" customFormat="1" ht="16.5" x14ac:dyDescent="0.25">
      <c r="A446" s="75"/>
      <c r="B446" s="79"/>
      <c r="C446" s="78"/>
      <c r="D446" s="84" t="str">
        <f t="shared" si="6"/>
        <v/>
      </c>
    </row>
    <row r="447" spans="1:4" s="69" customFormat="1" ht="16.5" x14ac:dyDescent="0.25">
      <c r="A447" s="75"/>
      <c r="B447" s="79"/>
      <c r="C447" s="78"/>
      <c r="D447" s="84" t="str">
        <f t="shared" si="6"/>
        <v/>
      </c>
    </row>
    <row r="448" spans="1:4" s="69" customFormat="1" ht="16.5" x14ac:dyDescent="0.25">
      <c r="A448" s="75"/>
      <c r="B448" s="79"/>
      <c r="C448" s="78"/>
      <c r="D448" s="84" t="str">
        <f t="shared" si="6"/>
        <v/>
      </c>
    </row>
    <row r="449" spans="1:4" s="69" customFormat="1" ht="16.5" x14ac:dyDescent="0.25">
      <c r="A449" s="75"/>
      <c r="B449" s="79"/>
      <c r="C449" s="78"/>
      <c r="D449" s="84" t="str">
        <f t="shared" si="6"/>
        <v/>
      </c>
    </row>
    <row r="450" spans="1:4" s="69" customFormat="1" ht="16.5" x14ac:dyDescent="0.25">
      <c r="A450" s="75"/>
      <c r="B450" s="79"/>
      <c r="C450" s="78"/>
      <c r="D450" s="84" t="str">
        <f t="shared" si="6"/>
        <v/>
      </c>
    </row>
    <row r="451" spans="1:4" s="69" customFormat="1" ht="16.5" x14ac:dyDescent="0.25">
      <c r="A451" s="75"/>
      <c r="B451" s="79"/>
      <c r="C451" s="78"/>
      <c r="D451" s="84" t="str">
        <f t="shared" si="6"/>
        <v/>
      </c>
    </row>
    <row r="452" spans="1:4" s="69" customFormat="1" ht="16.5" x14ac:dyDescent="0.25">
      <c r="A452" s="75"/>
      <c r="B452" s="79"/>
      <c r="C452" s="78"/>
      <c r="D452" s="84" t="str">
        <f t="shared" si="6"/>
        <v/>
      </c>
    </row>
    <row r="453" spans="1:4" s="69" customFormat="1" ht="16.5" x14ac:dyDescent="0.25">
      <c r="A453" s="75"/>
      <c r="B453" s="79"/>
      <c r="C453" s="78"/>
      <c r="D453" s="84" t="str">
        <f t="shared" si="6"/>
        <v/>
      </c>
    </row>
    <row r="454" spans="1:4" s="69" customFormat="1" ht="16.5" x14ac:dyDescent="0.25">
      <c r="A454" s="75"/>
      <c r="B454" s="79"/>
      <c r="C454" s="78"/>
      <c r="D454" s="84" t="str">
        <f t="shared" si="6"/>
        <v/>
      </c>
    </row>
    <row r="455" spans="1:4" s="69" customFormat="1" x14ac:dyDescent="0.25">
      <c r="D455" s="84" t="str">
        <f t="shared" ref="D455:D518" si="7">IF(B455&lt;&gt;"","&lt;file&gt;src\"&amp;B455&amp;".xml&lt;/file&gt;","")</f>
        <v/>
      </c>
    </row>
    <row r="456" spans="1:4" s="69" customFormat="1" x14ac:dyDescent="0.25">
      <c r="D456" s="84" t="str">
        <f t="shared" si="7"/>
        <v/>
      </c>
    </row>
    <row r="457" spans="1:4" s="69" customFormat="1" x14ac:dyDescent="0.25">
      <c r="D457" s="84" t="str">
        <f t="shared" si="7"/>
        <v/>
      </c>
    </row>
    <row r="458" spans="1:4" s="69" customFormat="1" x14ac:dyDescent="0.25">
      <c r="D458" s="84" t="str">
        <f t="shared" si="7"/>
        <v/>
      </c>
    </row>
    <row r="459" spans="1:4" s="69" customFormat="1" x14ac:dyDescent="0.25">
      <c r="D459" s="84" t="str">
        <f t="shared" si="7"/>
        <v/>
      </c>
    </row>
    <row r="460" spans="1:4" s="69" customFormat="1" x14ac:dyDescent="0.25">
      <c r="D460" s="84" t="str">
        <f t="shared" si="7"/>
        <v/>
      </c>
    </row>
    <row r="461" spans="1:4" s="69" customFormat="1" x14ac:dyDescent="0.25">
      <c r="D461" s="84" t="str">
        <f t="shared" si="7"/>
        <v/>
      </c>
    </row>
    <row r="462" spans="1:4" s="69" customFormat="1" x14ac:dyDescent="0.25">
      <c r="D462" s="84" t="str">
        <f t="shared" si="7"/>
        <v/>
      </c>
    </row>
    <row r="463" spans="1:4" s="69" customFormat="1" x14ac:dyDescent="0.25">
      <c r="D463" s="84" t="str">
        <f t="shared" si="7"/>
        <v/>
      </c>
    </row>
    <row r="464" spans="1:4" s="69" customFormat="1" x14ac:dyDescent="0.25">
      <c r="D464" s="84" t="str">
        <f t="shared" si="7"/>
        <v/>
      </c>
    </row>
    <row r="465" spans="4:4" s="69" customFormat="1" x14ac:dyDescent="0.25">
      <c r="D465" s="84" t="str">
        <f t="shared" si="7"/>
        <v/>
      </c>
    </row>
    <row r="466" spans="4:4" s="69" customFormat="1" x14ac:dyDescent="0.25">
      <c r="D466" s="84" t="str">
        <f t="shared" si="7"/>
        <v/>
      </c>
    </row>
    <row r="467" spans="4:4" s="69" customFormat="1" x14ac:dyDescent="0.25">
      <c r="D467" s="84" t="str">
        <f t="shared" si="7"/>
        <v/>
      </c>
    </row>
    <row r="468" spans="4:4" s="69" customFormat="1" x14ac:dyDescent="0.25">
      <c r="D468" s="84" t="str">
        <f t="shared" si="7"/>
        <v/>
      </c>
    </row>
    <row r="469" spans="4:4" s="69" customFormat="1" x14ac:dyDescent="0.25">
      <c r="D469" s="84" t="str">
        <f t="shared" si="7"/>
        <v/>
      </c>
    </row>
    <row r="470" spans="4:4" s="69" customFormat="1" x14ac:dyDescent="0.25">
      <c r="D470" s="84" t="str">
        <f t="shared" si="7"/>
        <v/>
      </c>
    </row>
    <row r="471" spans="4:4" s="69" customFormat="1" x14ac:dyDescent="0.25">
      <c r="D471" s="84" t="str">
        <f t="shared" si="7"/>
        <v/>
      </c>
    </row>
    <row r="472" spans="4:4" s="69" customFormat="1" x14ac:dyDescent="0.25">
      <c r="D472" s="84" t="str">
        <f t="shared" si="7"/>
        <v/>
      </c>
    </row>
    <row r="473" spans="4:4" s="69" customFormat="1" x14ac:dyDescent="0.25">
      <c r="D473" s="84" t="str">
        <f t="shared" si="7"/>
        <v/>
      </c>
    </row>
    <row r="474" spans="4:4" s="69" customFormat="1" x14ac:dyDescent="0.25">
      <c r="D474" s="84" t="str">
        <f t="shared" si="7"/>
        <v/>
      </c>
    </row>
    <row r="475" spans="4:4" s="69" customFormat="1" x14ac:dyDescent="0.25">
      <c r="D475" s="84" t="str">
        <f t="shared" si="7"/>
        <v/>
      </c>
    </row>
    <row r="476" spans="4:4" s="69" customFormat="1" x14ac:dyDescent="0.25">
      <c r="D476" s="84" t="str">
        <f t="shared" si="7"/>
        <v/>
      </c>
    </row>
    <row r="477" spans="4:4" s="69" customFormat="1" x14ac:dyDescent="0.25">
      <c r="D477" s="70" t="str">
        <f t="shared" si="7"/>
        <v/>
      </c>
    </row>
    <row r="478" spans="4:4" s="69" customFormat="1" x14ac:dyDescent="0.25">
      <c r="D478" s="70" t="str">
        <f t="shared" si="7"/>
        <v/>
      </c>
    </row>
    <row r="479" spans="4:4" s="69" customFormat="1" x14ac:dyDescent="0.25">
      <c r="D479" s="70" t="str">
        <f t="shared" si="7"/>
        <v/>
      </c>
    </row>
    <row r="480" spans="4:4" s="69" customFormat="1" x14ac:dyDescent="0.25">
      <c r="D480" s="70" t="str">
        <f t="shared" si="7"/>
        <v/>
      </c>
    </row>
    <row r="481" spans="4:4" s="69" customFormat="1" x14ac:dyDescent="0.25">
      <c r="D481" s="70" t="str">
        <f t="shared" si="7"/>
        <v/>
      </c>
    </row>
    <row r="482" spans="4:4" s="69" customFormat="1" x14ac:dyDescent="0.25">
      <c r="D482" s="70" t="str">
        <f t="shared" si="7"/>
        <v/>
      </c>
    </row>
    <row r="483" spans="4:4" s="69" customFormat="1" x14ac:dyDescent="0.25">
      <c r="D483" s="70" t="str">
        <f t="shared" si="7"/>
        <v/>
      </c>
    </row>
    <row r="484" spans="4:4" s="69" customFormat="1" x14ac:dyDescent="0.25">
      <c r="D484" s="70" t="str">
        <f t="shared" si="7"/>
        <v/>
      </c>
    </row>
    <row r="485" spans="4:4" s="69" customFormat="1" x14ac:dyDescent="0.25">
      <c r="D485" s="70" t="str">
        <f t="shared" si="7"/>
        <v/>
      </c>
    </row>
    <row r="486" spans="4:4" s="69" customFormat="1" x14ac:dyDescent="0.25">
      <c r="D486" s="70" t="str">
        <f t="shared" si="7"/>
        <v/>
      </c>
    </row>
    <row r="487" spans="4:4" s="69" customFormat="1" x14ac:dyDescent="0.25">
      <c r="D487" s="70" t="str">
        <f t="shared" si="7"/>
        <v/>
      </c>
    </row>
    <row r="488" spans="4:4" s="69" customFormat="1" x14ac:dyDescent="0.25">
      <c r="D488" s="70" t="str">
        <f t="shared" si="7"/>
        <v/>
      </c>
    </row>
    <row r="489" spans="4:4" s="69" customFormat="1" x14ac:dyDescent="0.25">
      <c r="D489" s="70" t="str">
        <f t="shared" si="7"/>
        <v/>
      </c>
    </row>
    <row r="490" spans="4:4" s="69" customFormat="1" x14ac:dyDescent="0.25">
      <c r="D490" s="70" t="str">
        <f t="shared" si="7"/>
        <v/>
      </c>
    </row>
    <row r="491" spans="4:4" s="69" customFormat="1" x14ac:dyDescent="0.25">
      <c r="D491" s="70" t="str">
        <f t="shared" si="7"/>
        <v/>
      </c>
    </row>
    <row r="492" spans="4:4" s="69" customFormat="1" x14ac:dyDescent="0.25">
      <c r="D492" s="70" t="str">
        <f t="shared" si="7"/>
        <v/>
      </c>
    </row>
    <row r="493" spans="4:4" s="69" customFormat="1" x14ac:dyDescent="0.25">
      <c r="D493" s="70" t="str">
        <f t="shared" si="7"/>
        <v/>
      </c>
    </row>
    <row r="494" spans="4:4" s="69" customFormat="1" x14ac:dyDescent="0.25">
      <c r="D494" s="70" t="str">
        <f t="shared" si="7"/>
        <v/>
      </c>
    </row>
    <row r="495" spans="4:4" s="69" customFormat="1" x14ac:dyDescent="0.25">
      <c r="D495" s="70" t="str">
        <f t="shared" si="7"/>
        <v/>
      </c>
    </row>
    <row r="496" spans="4:4" s="69" customFormat="1" x14ac:dyDescent="0.25">
      <c r="D496" s="70" t="str">
        <f t="shared" si="7"/>
        <v/>
      </c>
    </row>
    <row r="497" spans="4:4" s="69" customFormat="1" x14ac:dyDescent="0.25">
      <c r="D497" s="70" t="str">
        <f t="shared" si="7"/>
        <v/>
      </c>
    </row>
    <row r="498" spans="4:4" s="69" customFormat="1" x14ac:dyDescent="0.25">
      <c r="D498" s="70" t="str">
        <f t="shared" si="7"/>
        <v/>
      </c>
    </row>
    <row r="499" spans="4:4" s="69" customFormat="1" x14ac:dyDescent="0.25">
      <c r="D499" s="70" t="str">
        <f t="shared" si="7"/>
        <v/>
      </c>
    </row>
    <row r="500" spans="4:4" s="69" customFormat="1" x14ac:dyDescent="0.25">
      <c r="D500" s="70" t="str">
        <f t="shared" si="7"/>
        <v/>
      </c>
    </row>
    <row r="501" spans="4:4" s="69" customFormat="1" x14ac:dyDescent="0.25">
      <c r="D501" s="70" t="str">
        <f t="shared" si="7"/>
        <v/>
      </c>
    </row>
    <row r="502" spans="4:4" s="69" customFormat="1" x14ac:dyDescent="0.25">
      <c r="D502" s="70" t="str">
        <f t="shared" si="7"/>
        <v/>
      </c>
    </row>
    <row r="503" spans="4:4" s="69" customFormat="1" x14ac:dyDescent="0.25">
      <c r="D503" s="70" t="str">
        <f t="shared" si="7"/>
        <v/>
      </c>
    </row>
    <row r="504" spans="4:4" s="69" customFormat="1" x14ac:dyDescent="0.25">
      <c r="D504" s="70" t="str">
        <f t="shared" si="7"/>
        <v/>
      </c>
    </row>
    <row r="505" spans="4:4" s="69" customFormat="1" x14ac:dyDescent="0.25">
      <c r="D505" s="70" t="str">
        <f t="shared" si="7"/>
        <v/>
      </c>
    </row>
    <row r="506" spans="4:4" s="69" customFormat="1" x14ac:dyDescent="0.25">
      <c r="D506" s="70" t="str">
        <f t="shared" si="7"/>
        <v/>
      </c>
    </row>
    <row r="507" spans="4:4" s="69" customFormat="1" x14ac:dyDescent="0.25">
      <c r="D507" s="70" t="str">
        <f t="shared" si="7"/>
        <v/>
      </c>
    </row>
    <row r="508" spans="4:4" s="69" customFormat="1" x14ac:dyDescent="0.25">
      <c r="D508" s="70" t="str">
        <f t="shared" si="7"/>
        <v/>
      </c>
    </row>
    <row r="509" spans="4:4" s="69" customFormat="1" x14ac:dyDescent="0.25">
      <c r="D509" s="70" t="str">
        <f t="shared" si="7"/>
        <v/>
      </c>
    </row>
    <row r="510" spans="4:4" s="69" customFormat="1" x14ac:dyDescent="0.25">
      <c r="D510" s="70" t="str">
        <f t="shared" si="7"/>
        <v/>
      </c>
    </row>
    <row r="511" spans="4:4" s="69" customFormat="1" x14ac:dyDescent="0.25">
      <c r="D511" s="70" t="str">
        <f t="shared" si="7"/>
        <v/>
      </c>
    </row>
    <row r="512" spans="4:4" s="69" customFormat="1" x14ac:dyDescent="0.25">
      <c r="D512" s="70" t="str">
        <f t="shared" si="7"/>
        <v/>
      </c>
    </row>
    <row r="513" spans="4:4" s="69" customFormat="1" x14ac:dyDescent="0.25">
      <c r="D513" s="70" t="str">
        <f t="shared" si="7"/>
        <v/>
      </c>
    </row>
    <row r="514" spans="4:4" s="69" customFormat="1" x14ac:dyDescent="0.25">
      <c r="D514" s="70" t="str">
        <f t="shared" si="7"/>
        <v/>
      </c>
    </row>
    <row r="515" spans="4:4" s="69" customFormat="1" x14ac:dyDescent="0.25">
      <c r="D515" s="70" t="str">
        <f t="shared" si="7"/>
        <v/>
      </c>
    </row>
    <row r="516" spans="4:4" s="69" customFormat="1" x14ac:dyDescent="0.25">
      <c r="D516" s="70" t="str">
        <f t="shared" si="7"/>
        <v/>
      </c>
    </row>
    <row r="517" spans="4:4" s="69" customFormat="1" x14ac:dyDescent="0.25">
      <c r="D517" s="70" t="str">
        <f t="shared" si="7"/>
        <v/>
      </c>
    </row>
    <row r="518" spans="4:4" s="69" customFormat="1" x14ac:dyDescent="0.25">
      <c r="D518" s="70" t="str">
        <f t="shared" si="7"/>
        <v/>
      </c>
    </row>
    <row r="519" spans="4:4" s="69" customFormat="1" x14ac:dyDescent="0.25">
      <c r="D519" s="70" t="str">
        <f t="shared" ref="D519:D582" si="8">IF(B519&lt;&gt;"","&lt;file&gt;src\"&amp;B519&amp;".xml&lt;/file&gt;","")</f>
        <v/>
      </c>
    </row>
    <row r="520" spans="4:4" s="69" customFormat="1" x14ac:dyDescent="0.25">
      <c r="D520" s="70" t="str">
        <f t="shared" si="8"/>
        <v/>
      </c>
    </row>
    <row r="521" spans="4:4" s="69" customFormat="1" x14ac:dyDescent="0.25">
      <c r="D521" s="70" t="str">
        <f t="shared" si="8"/>
        <v/>
      </c>
    </row>
    <row r="522" spans="4:4" s="69" customFormat="1" x14ac:dyDescent="0.25">
      <c r="D522" s="70" t="str">
        <f t="shared" si="8"/>
        <v/>
      </c>
    </row>
    <row r="523" spans="4:4" s="69" customFormat="1" x14ac:dyDescent="0.25">
      <c r="D523" s="70" t="str">
        <f t="shared" si="8"/>
        <v/>
      </c>
    </row>
    <row r="524" spans="4:4" s="69" customFormat="1" x14ac:dyDescent="0.25">
      <c r="D524" s="70" t="str">
        <f t="shared" si="8"/>
        <v/>
      </c>
    </row>
    <row r="525" spans="4:4" s="69" customFormat="1" x14ac:dyDescent="0.25">
      <c r="D525" s="70" t="str">
        <f t="shared" si="8"/>
        <v/>
      </c>
    </row>
    <row r="526" spans="4:4" s="69" customFormat="1" x14ac:dyDescent="0.25">
      <c r="D526" s="70" t="str">
        <f t="shared" si="8"/>
        <v/>
      </c>
    </row>
    <row r="527" spans="4:4" s="69" customFormat="1" x14ac:dyDescent="0.25">
      <c r="D527" s="70" t="str">
        <f t="shared" si="8"/>
        <v/>
      </c>
    </row>
    <row r="528" spans="4:4" s="69" customFormat="1" x14ac:dyDescent="0.25">
      <c r="D528" s="70" t="str">
        <f t="shared" si="8"/>
        <v/>
      </c>
    </row>
    <row r="529" spans="4:4" s="69" customFormat="1" x14ac:dyDescent="0.25">
      <c r="D529" s="70" t="str">
        <f t="shared" si="8"/>
        <v/>
      </c>
    </row>
    <row r="530" spans="4:4" s="69" customFormat="1" x14ac:dyDescent="0.25">
      <c r="D530" s="70" t="str">
        <f t="shared" si="8"/>
        <v/>
      </c>
    </row>
    <row r="531" spans="4:4" s="69" customFormat="1" x14ac:dyDescent="0.25">
      <c r="D531" s="70" t="str">
        <f t="shared" si="8"/>
        <v/>
      </c>
    </row>
    <row r="532" spans="4:4" s="69" customFormat="1" x14ac:dyDescent="0.25">
      <c r="D532" s="70" t="str">
        <f t="shared" si="8"/>
        <v/>
      </c>
    </row>
    <row r="533" spans="4:4" s="69" customFormat="1" x14ac:dyDescent="0.25">
      <c r="D533" s="70" t="str">
        <f t="shared" si="8"/>
        <v/>
      </c>
    </row>
    <row r="534" spans="4:4" s="69" customFormat="1" x14ac:dyDescent="0.25">
      <c r="D534" s="70" t="str">
        <f t="shared" si="8"/>
        <v/>
      </c>
    </row>
    <row r="535" spans="4:4" s="69" customFormat="1" x14ac:dyDescent="0.25">
      <c r="D535" s="70" t="str">
        <f t="shared" si="8"/>
        <v/>
      </c>
    </row>
    <row r="536" spans="4:4" s="69" customFormat="1" x14ac:dyDescent="0.25">
      <c r="D536" s="70" t="str">
        <f t="shared" si="8"/>
        <v/>
      </c>
    </row>
    <row r="537" spans="4:4" s="69" customFormat="1" x14ac:dyDescent="0.25">
      <c r="D537" s="70" t="str">
        <f t="shared" si="8"/>
        <v/>
      </c>
    </row>
    <row r="538" spans="4:4" s="69" customFormat="1" x14ac:dyDescent="0.25">
      <c r="D538" s="70" t="str">
        <f t="shared" si="8"/>
        <v/>
      </c>
    </row>
    <row r="539" spans="4:4" s="69" customFormat="1" x14ac:dyDescent="0.25">
      <c r="D539" s="70" t="str">
        <f t="shared" si="8"/>
        <v/>
      </c>
    </row>
    <row r="540" spans="4:4" s="69" customFormat="1" x14ac:dyDescent="0.25">
      <c r="D540" s="70" t="str">
        <f t="shared" si="8"/>
        <v/>
      </c>
    </row>
    <row r="541" spans="4:4" s="69" customFormat="1" x14ac:dyDescent="0.25">
      <c r="D541" s="70" t="str">
        <f t="shared" si="8"/>
        <v/>
      </c>
    </row>
    <row r="542" spans="4:4" s="69" customFormat="1" x14ac:dyDescent="0.25">
      <c r="D542" s="70" t="str">
        <f t="shared" si="8"/>
        <v/>
      </c>
    </row>
    <row r="543" spans="4:4" s="69" customFormat="1" x14ac:dyDescent="0.25">
      <c r="D543" s="70" t="str">
        <f t="shared" si="8"/>
        <v/>
      </c>
    </row>
    <row r="544" spans="4:4" s="69" customFormat="1" x14ac:dyDescent="0.25">
      <c r="D544" s="70" t="str">
        <f t="shared" si="8"/>
        <v/>
      </c>
    </row>
    <row r="545" spans="4:4" s="69" customFormat="1" x14ac:dyDescent="0.25">
      <c r="D545" s="70" t="str">
        <f t="shared" si="8"/>
        <v/>
      </c>
    </row>
    <row r="546" spans="4:4" s="69" customFormat="1" x14ac:dyDescent="0.25">
      <c r="D546" s="70" t="str">
        <f t="shared" si="8"/>
        <v/>
      </c>
    </row>
    <row r="547" spans="4:4" s="69" customFormat="1" x14ac:dyDescent="0.25">
      <c r="D547" s="70" t="str">
        <f t="shared" si="8"/>
        <v/>
      </c>
    </row>
    <row r="548" spans="4:4" s="69" customFormat="1" x14ac:dyDescent="0.25">
      <c r="D548" s="70" t="str">
        <f t="shared" si="8"/>
        <v/>
      </c>
    </row>
    <row r="549" spans="4:4" s="69" customFormat="1" x14ac:dyDescent="0.25">
      <c r="D549" s="70" t="str">
        <f t="shared" si="8"/>
        <v/>
      </c>
    </row>
    <row r="550" spans="4:4" s="69" customFormat="1" x14ac:dyDescent="0.25">
      <c r="D550" s="70" t="str">
        <f t="shared" si="8"/>
        <v/>
      </c>
    </row>
    <row r="551" spans="4:4" s="69" customFormat="1" x14ac:dyDescent="0.25">
      <c r="D551" s="70" t="str">
        <f t="shared" si="8"/>
        <v/>
      </c>
    </row>
    <row r="552" spans="4:4" s="69" customFormat="1" x14ac:dyDescent="0.25">
      <c r="D552" s="70" t="str">
        <f t="shared" si="8"/>
        <v/>
      </c>
    </row>
    <row r="553" spans="4:4" s="69" customFormat="1" x14ac:dyDescent="0.25">
      <c r="D553" s="70" t="str">
        <f t="shared" si="8"/>
        <v/>
      </c>
    </row>
    <row r="554" spans="4:4" s="69" customFormat="1" x14ac:dyDescent="0.25">
      <c r="D554" s="70" t="str">
        <f t="shared" si="8"/>
        <v/>
      </c>
    </row>
    <row r="555" spans="4:4" s="69" customFormat="1" x14ac:dyDescent="0.25">
      <c r="D555" s="70" t="str">
        <f t="shared" si="8"/>
        <v/>
      </c>
    </row>
    <row r="556" spans="4:4" s="69" customFormat="1" x14ac:dyDescent="0.25">
      <c r="D556" s="70" t="str">
        <f t="shared" si="8"/>
        <v/>
      </c>
    </row>
    <row r="557" spans="4:4" s="69" customFormat="1" x14ac:dyDescent="0.25">
      <c r="D557" s="70" t="str">
        <f t="shared" si="8"/>
        <v/>
      </c>
    </row>
    <row r="558" spans="4:4" s="69" customFormat="1" x14ac:dyDescent="0.25">
      <c r="D558" s="70" t="str">
        <f t="shared" si="8"/>
        <v/>
      </c>
    </row>
    <row r="559" spans="4:4" s="69" customFormat="1" x14ac:dyDescent="0.25">
      <c r="D559" s="70" t="str">
        <f t="shared" si="8"/>
        <v/>
      </c>
    </row>
    <row r="560" spans="4:4" s="69" customFormat="1" x14ac:dyDescent="0.25">
      <c r="D560" s="70" t="str">
        <f t="shared" si="8"/>
        <v/>
      </c>
    </row>
    <row r="561" spans="4:4" s="69" customFormat="1" x14ac:dyDescent="0.25">
      <c r="D561" s="70" t="str">
        <f t="shared" si="8"/>
        <v/>
      </c>
    </row>
    <row r="562" spans="4:4" s="69" customFormat="1" x14ac:dyDescent="0.25">
      <c r="D562" s="70" t="str">
        <f t="shared" si="8"/>
        <v/>
      </c>
    </row>
    <row r="563" spans="4:4" s="69" customFormat="1" x14ac:dyDescent="0.25">
      <c r="D563" s="70" t="str">
        <f t="shared" si="8"/>
        <v/>
      </c>
    </row>
    <row r="564" spans="4:4" s="69" customFormat="1" x14ac:dyDescent="0.25">
      <c r="D564" s="70" t="str">
        <f t="shared" si="8"/>
        <v/>
      </c>
    </row>
    <row r="565" spans="4:4" s="69" customFormat="1" x14ac:dyDescent="0.25">
      <c r="D565" s="70" t="str">
        <f t="shared" si="8"/>
        <v/>
      </c>
    </row>
    <row r="566" spans="4:4" s="69" customFormat="1" x14ac:dyDescent="0.25">
      <c r="D566" s="70" t="str">
        <f t="shared" si="8"/>
        <v/>
      </c>
    </row>
    <row r="567" spans="4:4" s="69" customFormat="1" x14ac:dyDescent="0.25">
      <c r="D567" s="70" t="str">
        <f t="shared" si="8"/>
        <v/>
      </c>
    </row>
    <row r="568" spans="4:4" s="69" customFormat="1" x14ac:dyDescent="0.25">
      <c r="D568" s="70" t="str">
        <f t="shared" si="8"/>
        <v/>
      </c>
    </row>
    <row r="569" spans="4:4" s="69" customFormat="1" x14ac:dyDescent="0.25">
      <c r="D569" s="70" t="str">
        <f t="shared" si="8"/>
        <v/>
      </c>
    </row>
    <row r="570" spans="4:4" s="69" customFormat="1" x14ac:dyDescent="0.25">
      <c r="D570" s="70" t="str">
        <f t="shared" si="8"/>
        <v/>
      </c>
    </row>
    <row r="571" spans="4:4" s="69" customFormat="1" x14ac:dyDescent="0.25">
      <c r="D571" s="70" t="str">
        <f t="shared" si="8"/>
        <v/>
      </c>
    </row>
    <row r="572" spans="4:4" s="69" customFormat="1" x14ac:dyDescent="0.25">
      <c r="D572" s="70" t="str">
        <f t="shared" si="8"/>
        <v/>
      </c>
    </row>
    <row r="573" spans="4:4" s="69" customFormat="1" x14ac:dyDescent="0.25">
      <c r="D573" s="70" t="str">
        <f t="shared" si="8"/>
        <v/>
      </c>
    </row>
    <row r="574" spans="4:4" s="69" customFormat="1" x14ac:dyDescent="0.25">
      <c r="D574" s="70" t="str">
        <f t="shared" si="8"/>
        <v/>
      </c>
    </row>
    <row r="575" spans="4:4" s="69" customFormat="1" x14ac:dyDescent="0.25">
      <c r="D575" s="70" t="str">
        <f t="shared" si="8"/>
        <v/>
      </c>
    </row>
    <row r="576" spans="4:4" s="69" customFormat="1" x14ac:dyDescent="0.25">
      <c r="D576" s="70" t="str">
        <f t="shared" si="8"/>
        <v/>
      </c>
    </row>
    <row r="577" spans="4:4" s="69" customFormat="1" x14ac:dyDescent="0.25">
      <c r="D577" s="70" t="str">
        <f t="shared" si="8"/>
        <v/>
      </c>
    </row>
    <row r="578" spans="4:4" s="69" customFormat="1" x14ac:dyDescent="0.25">
      <c r="D578" s="70" t="str">
        <f t="shared" si="8"/>
        <v/>
      </c>
    </row>
    <row r="579" spans="4:4" s="69" customFormat="1" x14ac:dyDescent="0.25">
      <c r="D579" s="70" t="str">
        <f t="shared" si="8"/>
        <v/>
      </c>
    </row>
    <row r="580" spans="4:4" s="69" customFormat="1" x14ac:dyDescent="0.25">
      <c r="D580" s="70" t="str">
        <f t="shared" si="8"/>
        <v/>
      </c>
    </row>
    <row r="581" spans="4:4" s="69" customFormat="1" x14ac:dyDescent="0.25">
      <c r="D581" s="70" t="str">
        <f t="shared" si="8"/>
        <v/>
      </c>
    </row>
    <row r="582" spans="4:4" s="69" customFormat="1" x14ac:dyDescent="0.25">
      <c r="D582" s="70" t="str">
        <f t="shared" si="8"/>
        <v/>
      </c>
    </row>
    <row r="583" spans="4:4" s="69" customFormat="1" x14ac:dyDescent="0.25">
      <c r="D583" s="70" t="str">
        <f t="shared" ref="D583:D646" si="9">IF(B583&lt;&gt;"","&lt;file&gt;src\"&amp;B583&amp;".xml&lt;/file&gt;","")</f>
        <v/>
      </c>
    </row>
    <row r="584" spans="4:4" s="69" customFormat="1" x14ac:dyDescent="0.25">
      <c r="D584" s="70" t="str">
        <f t="shared" si="9"/>
        <v/>
      </c>
    </row>
    <row r="585" spans="4:4" s="69" customFormat="1" x14ac:dyDescent="0.25">
      <c r="D585" s="70" t="str">
        <f t="shared" si="9"/>
        <v/>
      </c>
    </row>
    <row r="586" spans="4:4" s="69" customFormat="1" x14ac:dyDescent="0.25">
      <c r="D586" s="70" t="str">
        <f t="shared" si="9"/>
        <v/>
      </c>
    </row>
    <row r="587" spans="4:4" s="69" customFormat="1" x14ac:dyDescent="0.25">
      <c r="D587" s="70" t="str">
        <f t="shared" si="9"/>
        <v/>
      </c>
    </row>
    <row r="588" spans="4:4" s="69" customFormat="1" x14ac:dyDescent="0.25">
      <c r="D588" s="70" t="str">
        <f t="shared" si="9"/>
        <v/>
      </c>
    </row>
    <row r="589" spans="4:4" s="69" customFormat="1" x14ac:dyDescent="0.25">
      <c r="D589" s="70" t="str">
        <f t="shared" si="9"/>
        <v/>
      </c>
    </row>
    <row r="590" spans="4:4" s="69" customFormat="1" x14ac:dyDescent="0.25">
      <c r="D590" s="70" t="str">
        <f t="shared" si="9"/>
        <v/>
      </c>
    </row>
    <row r="591" spans="4:4" s="69" customFormat="1" x14ac:dyDescent="0.25">
      <c r="D591" s="70" t="str">
        <f t="shared" si="9"/>
        <v/>
      </c>
    </row>
    <row r="592" spans="4:4" s="69" customFormat="1" x14ac:dyDescent="0.25">
      <c r="D592" s="70" t="str">
        <f t="shared" si="9"/>
        <v/>
      </c>
    </row>
    <row r="593" spans="4:4" s="69" customFormat="1" x14ac:dyDescent="0.25">
      <c r="D593" s="70" t="str">
        <f t="shared" si="9"/>
        <v/>
      </c>
    </row>
    <row r="594" spans="4:4" s="69" customFormat="1" x14ac:dyDescent="0.25">
      <c r="D594" s="70" t="str">
        <f t="shared" si="9"/>
        <v/>
      </c>
    </row>
    <row r="595" spans="4:4" s="69" customFormat="1" x14ac:dyDescent="0.25">
      <c r="D595" s="70" t="str">
        <f t="shared" si="9"/>
        <v/>
      </c>
    </row>
    <row r="596" spans="4:4" s="69" customFormat="1" x14ac:dyDescent="0.25">
      <c r="D596" s="70" t="str">
        <f t="shared" si="9"/>
        <v/>
      </c>
    </row>
    <row r="597" spans="4:4" s="69" customFormat="1" x14ac:dyDescent="0.25">
      <c r="D597" s="70" t="str">
        <f t="shared" si="9"/>
        <v/>
      </c>
    </row>
    <row r="598" spans="4:4" s="69" customFormat="1" x14ac:dyDescent="0.25">
      <c r="D598" s="70" t="str">
        <f t="shared" si="9"/>
        <v/>
      </c>
    </row>
    <row r="599" spans="4:4" s="69" customFormat="1" x14ac:dyDescent="0.25">
      <c r="D599" s="70" t="str">
        <f t="shared" si="9"/>
        <v/>
      </c>
    </row>
    <row r="600" spans="4:4" s="69" customFormat="1" x14ac:dyDescent="0.25">
      <c r="D600" s="70" t="str">
        <f t="shared" si="9"/>
        <v/>
      </c>
    </row>
    <row r="601" spans="4:4" s="69" customFormat="1" x14ac:dyDescent="0.25">
      <c r="D601" s="70" t="str">
        <f t="shared" si="9"/>
        <v/>
      </c>
    </row>
    <row r="602" spans="4:4" s="69" customFormat="1" x14ac:dyDescent="0.25">
      <c r="D602" s="70" t="str">
        <f t="shared" si="9"/>
        <v/>
      </c>
    </row>
    <row r="603" spans="4:4" s="69" customFormat="1" x14ac:dyDescent="0.25">
      <c r="D603" s="70" t="str">
        <f t="shared" si="9"/>
        <v/>
      </c>
    </row>
    <row r="604" spans="4:4" s="69" customFormat="1" x14ac:dyDescent="0.25">
      <c r="D604" s="70" t="str">
        <f t="shared" si="9"/>
        <v/>
      </c>
    </row>
    <row r="605" spans="4:4" s="69" customFormat="1" x14ac:dyDescent="0.25">
      <c r="D605" s="70" t="str">
        <f t="shared" si="9"/>
        <v/>
      </c>
    </row>
    <row r="606" spans="4:4" s="69" customFormat="1" x14ac:dyDescent="0.25">
      <c r="D606" s="70" t="str">
        <f t="shared" si="9"/>
        <v/>
      </c>
    </row>
    <row r="607" spans="4:4" s="69" customFormat="1" x14ac:dyDescent="0.25">
      <c r="D607" s="70" t="str">
        <f t="shared" si="9"/>
        <v/>
      </c>
    </row>
    <row r="608" spans="4:4" s="69" customFormat="1" x14ac:dyDescent="0.25">
      <c r="D608" s="70" t="str">
        <f t="shared" si="9"/>
        <v/>
      </c>
    </row>
    <row r="609" spans="4:4" s="69" customFormat="1" x14ac:dyDescent="0.25">
      <c r="D609" s="70" t="str">
        <f t="shared" si="9"/>
        <v/>
      </c>
    </row>
    <row r="610" spans="4:4" s="69" customFormat="1" x14ac:dyDescent="0.25">
      <c r="D610" s="70" t="str">
        <f t="shared" si="9"/>
        <v/>
      </c>
    </row>
    <row r="611" spans="4:4" s="69" customFormat="1" x14ac:dyDescent="0.25">
      <c r="D611" s="70" t="str">
        <f t="shared" si="9"/>
        <v/>
      </c>
    </row>
    <row r="612" spans="4:4" s="69" customFormat="1" x14ac:dyDescent="0.25">
      <c r="D612" s="70" t="str">
        <f t="shared" si="9"/>
        <v/>
      </c>
    </row>
    <row r="613" spans="4:4" s="69" customFormat="1" x14ac:dyDescent="0.25">
      <c r="D613" s="70" t="str">
        <f t="shared" si="9"/>
        <v/>
      </c>
    </row>
    <row r="614" spans="4:4" s="69" customFormat="1" x14ac:dyDescent="0.25">
      <c r="D614" s="70" t="str">
        <f t="shared" si="9"/>
        <v/>
      </c>
    </row>
    <row r="615" spans="4:4" s="69" customFormat="1" x14ac:dyDescent="0.25">
      <c r="D615" s="70" t="str">
        <f t="shared" si="9"/>
        <v/>
      </c>
    </row>
    <row r="616" spans="4:4" s="69" customFormat="1" x14ac:dyDescent="0.25">
      <c r="D616" s="70" t="str">
        <f t="shared" si="9"/>
        <v/>
      </c>
    </row>
    <row r="617" spans="4:4" s="69" customFormat="1" x14ac:dyDescent="0.25">
      <c r="D617" s="70" t="str">
        <f t="shared" si="9"/>
        <v/>
      </c>
    </row>
    <row r="618" spans="4:4" s="69" customFormat="1" x14ac:dyDescent="0.25">
      <c r="D618" s="70" t="str">
        <f t="shared" si="9"/>
        <v/>
      </c>
    </row>
    <row r="619" spans="4:4" s="69" customFormat="1" x14ac:dyDescent="0.25">
      <c r="D619" s="70" t="str">
        <f t="shared" si="9"/>
        <v/>
      </c>
    </row>
    <row r="620" spans="4:4" s="69" customFormat="1" x14ac:dyDescent="0.25">
      <c r="D620" s="70" t="str">
        <f t="shared" si="9"/>
        <v/>
      </c>
    </row>
    <row r="621" spans="4:4" s="69" customFormat="1" x14ac:dyDescent="0.25">
      <c r="D621" s="70" t="str">
        <f t="shared" si="9"/>
        <v/>
      </c>
    </row>
    <row r="622" spans="4:4" s="69" customFormat="1" x14ac:dyDescent="0.25">
      <c r="D622" s="70" t="str">
        <f t="shared" si="9"/>
        <v/>
      </c>
    </row>
    <row r="623" spans="4:4" s="69" customFormat="1" x14ac:dyDescent="0.25">
      <c r="D623" s="70" t="str">
        <f t="shared" si="9"/>
        <v/>
      </c>
    </row>
    <row r="624" spans="4:4" s="69" customFormat="1" x14ac:dyDescent="0.25">
      <c r="D624" s="70" t="str">
        <f t="shared" si="9"/>
        <v/>
      </c>
    </row>
    <row r="625" spans="4:4" s="69" customFormat="1" x14ac:dyDescent="0.25">
      <c r="D625" s="70" t="str">
        <f t="shared" si="9"/>
        <v/>
      </c>
    </row>
    <row r="626" spans="4:4" s="69" customFormat="1" x14ac:dyDescent="0.25">
      <c r="D626" s="70" t="str">
        <f t="shared" si="9"/>
        <v/>
      </c>
    </row>
    <row r="627" spans="4:4" s="69" customFormat="1" x14ac:dyDescent="0.25">
      <c r="D627" s="70" t="str">
        <f t="shared" si="9"/>
        <v/>
      </c>
    </row>
    <row r="628" spans="4:4" s="69" customFormat="1" x14ac:dyDescent="0.25">
      <c r="D628" s="70" t="str">
        <f t="shared" si="9"/>
        <v/>
      </c>
    </row>
    <row r="629" spans="4:4" s="69" customFormat="1" x14ac:dyDescent="0.25">
      <c r="D629" s="70" t="str">
        <f t="shared" si="9"/>
        <v/>
      </c>
    </row>
    <row r="630" spans="4:4" s="69" customFormat="1" x14ac:dyDescent="0.25">
      <c r="D630" s="70" t="str">
        <f t="shared" si="9"/>
        <v/>
      </c>
    </row>
    <row r="631" spans="4:4" s="69" customFormat="1" x14ac:dyDescent="0.25">
      <c r="D631" s="70" t="str">
        <f t="shared" si="9"/>
        <v/>
      </c>
    </row>
    <row r="632" spans="4:4" s="69" customFormat="1" x14ac:dyDescent="0.25">
      <c r="D632" s="70" t="str">
        <f t="shared" si="9"/>
        <v/>
      </c>
    </row>
    <row r="633" spans="4:4" s="69" customFormat="1" x14ac:dyDescent="0.25">
      <c r="D633" s="70" t="str">
        <f t="shared" si="9"/>
        <v/>
      </c>
    </row>
    <row r="634" spans="4:4" s="69" customFormat="1" x14ac:dyDescent="0.25">
      <c r="D634" s="70" t="str">
        <f t="shared" si="9"/>
        <v/>
      </c>
    </row>
    <row r="635" spans="4:4" s="69" customFormat="1" x14ac:dyDescent="0.25">
      <c r="D635" s="70" t="str">
        <f t="shared" si="9"/>
        <v/>
      </c>
    </row>
    <row r="636" spans="4:4" s="69" customFormat="1" x14ac:dyDescent="0.25">
      <c r="D636" s="70" t="str">
        <f t="shared" si="9"/>
        <v/>
      </c>
    </row>
    <row r="637" spans="4:4" s="69" customFormat="1" x14ac:dyDescent="0.25">
      <c r="D637" s="70" t="str">
        <f t="shared" si="9"/>
        <v/>
      </c>
    </row>
    <row r="638" spans="4:4" s="69" customFormat="1" x14ac:dyDescent="0.25">
      <c r="D638" s="70" t="str">
        <f t="shared" si="9"/>
        <v/>
      </c>
    </row>
    <row r="639" spans="4:4" s="69" customFormat="1" x14ac:dyDescent="0.25">
      <c r="D639" s="70" t="str">
        <f t="shared" si="9"/>
        <v/>
      </c>
    </row>
    <row r="640" spans="4:4" s="69" customFormat="1" x14ac:dyDescent="0.25">
      <c r="D640" s="70" t="str">
        <f t="shared" si="9"/>
        <v/>
      </c>
    </row>
    <row r="641" spans="4:4" s="69" customFormat="1" x14ac:dyDescent="0.25">
      <c r="D641" s="70" t="str">
        <f t="shared" si="9"/>
        <v/>
      </c>
    </row>
    <row r="642" spans="4:4" s="69" customFormat="1" x14ac:dyDescent="0.25">
      <c r="D642" s="70" t="str">
        <f t="shared" si="9"/>
        <v/>
      </c>
    </row>
    <row r="643" spans="4:4" s="69" customFormat="1" x14ac:dyDescent="0.25">
      <c r="D643" s="70" t="str">
        <f t="shared" si="9"/>
        <v/>
      </c>
    </row>
    <row r="644" spans="4:4" s="69" customFormat="1" x14ac:dyDescent="0.25">
      <c r="D644" s="70" t="str">
        <f t="shared" si="9"/>
        <v/>
      </c>
    </row>
    <row r="645" spans="4:4" s="69" customFormat="1" x14ac:dyDescent="0.25">
      <c r="D645" s="70" t="str">
        <f t="shared" si="9"/>
        <v/>
      </c>
    </row>
    <row r="646" spans="4:4" s="69" customFormat="1" x14ac:dyDescent="0.25">
      <c r="D646" s="70" t="str">
        <f t="shared" si="9"/>
        <v/>
      </c>
    </row>
    <row r="647" spans="4:4" s="69" customFormat="1" x14ac:dyDescent="0.25">
      <c r="D647" s="70" t="str">
        <f t="shared" ref="D647:D710" si="10">IF(B647&lt;&gt;"","&lt;file&gt;src\"&amp;B647&amp;".xml&lt;/file&gt;","")</f>
        <v/>
      </c>
    </row>
    <row r="648" spans="4:4" s="69" customFormat="1" x14ac:dyDescent="0.25">
      <c r="D648" s="70" t="str">
        <f t="shared" si="10"/>
        <v/>
      </c>
    </row>
    <row r="649" spans="4:4" s="69" customFormat="1" x14ac:dyDescent="0.25">
      <c r="D649" s="70" t="str">
        <f t="shared" si="10"/>
        <v/>
      </c>
    </row>
    <row r="650" spans="4:4" s="69" customFormat="1" x14ac:dyDescent="0.25">
      <c r="D650" s="70" t="str">
        <f t="shared" si="10"/>
        <v/>
      </c>
    </row>
    <row r="651" spans="4:4" s="69" customFormat="1" x14ac:dyDescent="0.25">
      <c r="D651" s="70" t="str">
        <f t="shared" si="10"/>
        <v/>
      </c>
    </row>
    <row r="652" spans="4:4" s="69" customFormat="1" x14ac:dyDescent="0.25">
      <c r="D652" s="70" t="str">
        <f t="shared" si="10"/>
        <v/>
      </c>
    </row>
    <row r="653" spans="4:4" s="69" customFormat="1" x14ac:dyDescent="0.25">
      <c r="D653" s="70" t="str">
        <f t="shared" si="10"/>
        <v/>
      </c>
    </row>
    <row r="654" spans="4:4" s="69" customFormat="1" x14ac:dyDescent="0.25">
      <c r="D654" s="70" t="str">
        <f t="shared" si="10"/>
        <v/>
      </c>
    </row>
    <row r="655" spans="4:4" s="69" customFormat="1" x14ac:dyDescent="0.25">
      <c r="D655" s="70" t="str">
        <f t="shared" si="10"/>
        <v/>
      </c>
    </row>
    <row r="656" spans="4:4" s="69" customFormat="1" x14ac:dyDescent="0.25">
      <c r="D656" s="70" t="str">
        <f t="shared" si="10"/>
        <v/>
      </c>
    </row>
    <row r="657" spans="4:4" s="69" customFormat="1" x14ac:dyDescent="0.25">
      <c r="D657" s="70" t="str">
        <f t="shared" si="10"/>
        <v/>
      </c>
    </row>
    <row r="658" spans="4:4" s="69" customFormat="1" x14ac:dyDescent="0.25">
      <c r="D658" s="70" t="str">
        <f t="shared" si="10"/>
        <v/>
      </c>
    </row>
    <row r="659" spans="4:4" s="69" customFormat="1" x14ac:dyDescent="0.25">
      <c r="D659" s="70" t="str">
        <f t="shared" si="10"/>
        <v/>
      </c>
    </row>
    <row r="660" spans="4:4" s="69" customFormat="1" x14ac:dyDescent="0.25">
      <c r="D660" s="70" t="str">
        <f t="shared" si="10"/>
        <v/>
      </c>
    </row>
    <row r="661" spans="4:4" s="69" customFormat="1" x14ac:dyDescent="0.25">
      <c r="D661" s="70" t="str">
        <f t="shared" si="10"/>
        <v/>
      </c>
    </row>
    <row r="662" spans="4:4" s="69" customFormat="1" x14ac:dyDescent="0.25">
      <c r="D662" s="70" t="str">
        <f t="shared" si="10"/>
        <v/>
      </c>
    </row>
    <row r="663" spans="4:4" s="69" customFormat="1" x14ac:dyDescent="0.25">
      <c r="D663" s="70" t="str">
        <f t="shared" si="10"/>
        <v/>
      </c>
    </row>
    <row r="664" spans="4:4" s="69" customFormat="1" x14ac:dyDescent="0.25">
      <c r="D664" s="70" t="str">
        <f t="shared" si="10"/>
        <v/>
      </c>
    </row>
    <row r="665" spans="4:4" s="69" customFormat="1" x14ac:dyDescent="0.25">
      <c r="D665" s="70" t="str">
        <f t="shared" si="10"/>
        <v/>
      </c>
    </row>
    <row r="666" spans="4:4" s="69" customFormat="1" x14ac:dyDescent="0.25">
      <c r="D666" s="70" t="str">
        <f t="shared" si="10"/>
        <v/>
      </c>
    </row>
    <row r="667" spans="4:4" s="69" customFormat="1" x14ac:dyDescent="0.25">
      <c r="D667" s="70" t="str">
        <f t="shared" si="10"/>
        <v/>
      </c>
    </row>
    <row r="668" spans="4:4" s="69" customFormat="1" x14ac:dyDescent="0.25">
      <c r="D668" s="70" t="str">
        <f t="shared" si="10"/>
        <v/>
      </c>
    </row>
    <row r="669" spans="4:4" s="69" customFormat="1" x14ac:dyDescent="0.25">
      <c r="D669" s="70" t="str">
        <f t="shared" si="10"/>
        <v/>
      </c>
    </row>
    <row r="670" spans="4:4" s="69" customFormat="1" x14ac:dyDescent="0.25">
      <c r="D670" s="70" t="str">
        <f t="shared" si="10"/>
        <v/>
      </c>
    </row>
    <row r="671" spans="4:4" s="69" customFormat="1" x14ac:dyDescent="0.25">
      <c r="D671" s="70" t="str">
        <f t="shared" si="10"/>
        <v/>
      </c>
    </row>
    <row r="672" spans="4:4" s="69" customFormat="1" x14ac:dyDescent="0.25">
      <c r="D672" s="70" t="str">
        <f t="shared" si="10"/>
        <v/>
      </c>
    </row>
    <row r="673" spans="4:4" s="69" customFormat="1" x14ac:dyDescent="0.25">
      <c r="D673" s="70" t="str">
        <f t="shared" si="10"/>
        <v/>
      </c>
    </row>
    <row r="674" spans="4:4" s="69" customFormat="1" x14ac:dyDescent="0.25">
      <c r="D674" s="70" t="str">
        <f t="shared" si="10"/>
        <v/>
      </c>
    </row>
    <row r="675" spans="4:4" s="69" customFormat="1" x14ac:dyDescent="0.25">
      <c r="D675" s="70" t="str">
        <f t="shared" si="10"/>
        <v/>
      </c>
    </row>
    <row r="676" spans="4:4" s="69" customFormat="1" x14ac:dyDescent="0.25">
      <c r="D676" s="70" t="str">
        <f t="shared" si="10"/>
        <v/>
      </c>
    </row>
    <row r="677" spans="4:4" s="69" customFormat="1" x14ac:dyDescent="0.25">
      <c r="D677" s="70" t="str">
        <f t="shared" si="10"/>
        <v/>
      </c>
    </row>
    <row r="678" spans="4:4" s="69" customFormat="1" x14ac:dyDescent="0.25">
      <c r="D678" s="70" t="str">
        <f t="shared" si="10"/>
        <v/>
      </c>
    </row>
    <row r="679" spans="4:4" s="69" customFormat="1" x14ac:dyDescent="0.25">
      <c r="D679" s="70" t="str">
        <f t="shared" si="10"/>
        <v/>
      </c>
    </row>
    <row r="680" spans="4:4" s="69" customFormat="1" x14ac:dyDescent="0.25">
      <c r="D680" s="70" t="str">
        <f t="shared" si="10"/>
        <v/>
      </c>
    </row>
    <row r="681" spans="4:4" s="69" customFormat="1" x14ac:dyDescent="0.25">
      <c r="D681" s="70" t="str">
        <f t="shared" si="10"/>
        <v/>
      </c>
    </row>
    <row r="682" spans="4:4" s="69" customFormat="1" x14ac:dyDescent="0.25">
      <c r="D682" s="70" t="str">
        <f t="shared" si="10"/>
        <v/>
      </c>
    </row>
    <row r="683" spans="4:4" s="69" customFormat="1" x14ac:dyDescent="0.25">
      <c r="D683" s="70" t="str">
        <f t="shared" si="10"/>
        <v/>
      </c>
    </row>
    <row r="684" spans="4:4" s="69" customFormat="1" x14ac:dyDescent="0.25">
      <c r="D684" s="70" t="str">
        <f t="shared" si="10"/>
        <v/>
      </c>
    </row>
    <row r="685" spans="4:4" s="69" customFormat="1" x14ac:dyDescent="0.25">
      <c r="D685" s="70" t="str">
        <f t="shared" si="10"/>
        <v/>
      </c>
    </row>
    <row r="686" spans="4:4" s="69" customFormat="1" x14ac:dyDescent="0.25">
      <c r="D686" s="70" t="str">
        <f t="shared" si="10"/>
        <v/>
      </c>
    </row>
    <row r="687" spans="4:4" s="69" customFormat="1" x14ac:dyDescent="0.25">
      <c r="D687" s="70" t="str">
        <f t="shared" si="10"/>
        <v/>
      </c>
    </row>
    <row r="688" spans="4:4" s="69" customFormat="1" x14ac:dyDescent="0.25">
      <c r="D688" s="70" t="str">
        <f t="shared" si="10"/>
        <v/>
      </c>
    </row>
    <row r="689" spans="4:4" s="69" customFormat="1" x14ac:dyDescent="0.25">
      <c r="D689" s="70" t="str">
        <f t="shared" si="10"/>
        <v/>
      </c>
    </row>
    <row r="690" spans="4:4" s="69" customFormat="1" x14ac:dyDescent="0.25">
      <c r="D690" s="70" t="str">
        <f t="shared" si="10"/>
        <v/>
      </c>
    </row>
    <row r="691" spans="4:4" s="69" customFormat="1" x14ac:dyDescent="0.25">
      <c r="D691" s="70" t="str">
        <f t="shared" si="10"/>
        <v/>
      </c>
    </row>
    <row r="692" spans="4:4" s="69" customFormat="1" x14ac:dyDescent="0.25">
      <c r="D692" s="70" t="str">
        <f t="shared" si="10"/>
        <v/>
      </c>
    </row>
    <row r="693" spans="4:4" s="69" customFormat="1" x14ac:dyDescent="0.25">
      <c r="D693" s="70" t="str">
        <f t="shared" si="10"/>
        <v/>
      </c>
    </row>
    <row r="694" spans="4:4" s="69" customFormat="1" x14ac:dyDescent="0.25">
      <c r="D694" s="70" t="str">
        <f t="shared" si="10"/>
        <v/>
      </c>
    </row>
    <row r="695" spans="4:4" s="69" customFormat="1" x14ac:dyDescent="0.25">
      <c r="D695" s="70" t="str">
        <f t="shared" si="10"/>
        <v/>
      </c>
    </row>
    <row r="696" spans="4:4" s="69" customFormat="1" x14ac:dyDescent="0.25">
      <c r="D696" s="70" t="str">
        <f t="shared" si="10"/>
        <v/>
      </c>
    </row>
    <row r="697" spans="4:4" s="69" customFormat="1" x14ac:dyDescent="0.25">
      <c r="D697" s="70" t="str">
        <f t="shared" si="10"/>
        <v/>
      </c>
    </row>
    <row r="698" spans="4:4" s="69" customFormat="1" x14ac:dyDescent="0.25">
      <c r="D698" s="70" t="str">
        <f t="shared" si="10"/>
        <v/>
      </c>
    </row>
    <row r="699" spans="4:4" s="69" customFormat="1" x14ac:dyDescent="0.25">
      <c r="D699" s="70" t="str">
        <f t="shared" si="10"/>
        <v/>
      </c>
    </row>
    <row r="700" spans="4:4" s="69" customFormat="1" x14ac:dyDescent="0.25">
      <c r="D700" s="70" t="str">
        <f t="shared" si="10"/>
        <v/>
      </c>
    </row>
    <row r="701" spans="4:4" s="69" customFormat="1" x14ac:dyDescent="0.25">
      <c r="D701" s="70" t="str">
        <f t="shared" si="10"/>
        <v/>
      </c>
    </row>
    <row r="702" spans="4:4" s="69" customFormat="1" x14ac:dyDescent="0.25">
      <c r="D702" s="70" t="str">
        <f t="shared" si="10"/>
        <v/>
      </c>
    </row>
    <row r="703" spans="4:4" s="69" customFormat="1" x14ac:dyDescent="0.25">
      <c r="D703" s="70" t="str">
        <f t="shared" si="10"/>
        <v/>
      </c>
    </row>
    <row r="704" spans="4:4" s="69" customFormat="1" x14ac:dyDescent="0.25">
      <c r="D704" s="70" t="str">
        <f t="shared" si="10"/>
        <v/>
      </c>
    </row>
    <row r="705" spans="4:4" s="69" customFormat="1" x14ac:dyDescent="0.25">
      <c r="D705" s="70" t="str">
        <f t="shared" si="10"/>
        <v/>
      </c>
    </row>
    <row r="706" spans="4:4" s="69" customFormat="1" x14ac:dyDescent="0.25">
      <c r="D706" s="70" t="str">
        <f t="shared" si="10"/>
        <v/>
      </c>
    </row>
    <row r="707" spans="4:4" s="69" customFormat="1" x14ac:dyDescent="0.25">
      <c r="D707" s="70" t="str">
        <f t="shared" si="10"/>
        <v/>
      </c>
    </row>
    <row r="708" spans="4:4" s="69" customFormat="1" x14ac:dyDescent="0.25">
      <c r="D708" s="70" t="str">
        <f t="shared" si="10"/>
        <v/>
      </c>
    </row>
    <row r="709" spans="4:4" s="69" customFormat="1" x14ac:dyDescent="0.25">
      <c r="D709" s="70" t="str">
        <f t="shared" si="10"/>
        <v/>
      </c>
    </row>
    <row r="710" spans="4:4" s="69" customFormat="1" x14ac:dyDescent="0.25">
      <c r="D710" s="70" t="str">
        <f t="shared" si="10"/>
        <v/>
      </c>
    </row>
    <row r="711" spans="4:4" s="69" customFormat="1" x14ac:dyDescent="0.25">
      <c r="D711" s="70" t="str">
        <f t="shared" ref="D711:D774" si="11">IF(B711&lt;&gt;"","&lt;file&gt;src\"&amp;B711&amp;".xml&lt;/file&gt;","")</f>
        <v/>
      </c>
    </row>
    <row r="712" spans="4:4" s="69" customFormat="1" x14ac:dyDescent="0.25">
      <c r="D712" s="70" t="str">
        <f t="shared" si="11"/>
        <v/>
      </c>
    </row>
    <row r="713" spans="4:4" s="69" customFormat="1" x14ac:dyDescent="0.25">
      <c r="D713" s="70" t="str">
        <f t="shared" si="11"/>
        <v/>
      </c>
    </row>
    <row r="714" spans="4:4" s="69" customFormat="1" x14ac:dyDescent="0.25">
      <c r="D714" s="70" t="str">
        <f t="shared" si="11"/>
        <v/>
      </c>
    </row>
    <row r="715" spans="4:4" s="69" customFormat="1" x14ac:dyDescent="0.25">
      <c r="D715" s="70" t="str">
        <f t="shared" si="11"/>
        <v/>
      </c>
    </row>
    <row r="716" spans="4:4" s="69" customFormat="1" x14ac:dyDescent="0.25">
      <c r="D716" s="70" t="str">
        <f t="shared" si="11"/>
        <v/>
      </c>
    </row>
    <row r="717" spans="4:4" s="69" customFormat="1" x14ac:dyDescent="0.25">
      <c r="D717" s="70" t="str">
        <f t="shared" si="11"/>
        <v/>
      </c>
    </row>
    <row r="718" spans="4:4" s="69" customFormat="1" x14ac:dyDescent="0.25">
      <c r="D718" s="70" t="str">
        <f t="shared" si="11"/>
        <v/>
      </c>
    </row>
    <row r="719" spans="4:4" s="69" customFormat="1" x14ac:dyDescent="0.25">
      <c r="D719" s="70" t="str">
        <f t="shared" si="11"/>
        <v/>
      </c>
    </row>
    <row r="720" spans="4:4" s="69" customFormat="1" x14ac:dyDescent="0.25">
      <c r="D720" s="70" t="str">
        <f t="shared" si="11"/>
        <v/>
      </c>
    </row>
    <row r="721" spans="4:4" s="69" customFormat="1" x14ac:dyDescent="0.25">
      <c r="D721" s="70" t="str">
        <f t="shared" si="11"/>
        <v/>
      </c>
    </row>
    <row r="722" spans="4:4" s="69" customFormat="1" x14ac:dyDescent="0.25">
      <c r="D722" s="70" t="str">
        <f t="shared" si="11"/>
        <v/>
      </c>
    </row>
    <row r="723" spans="4:4" s="69" customFormat="1" x14ac:dyDescent="0.25">
      <c r="D723" s="70" t="str">
        <f t="shared" si="11"/>
        <v/>
      </c>
    </row>
    <row r="724" spans="4:4" s="69" customFormat="1" x14ac:dyDescent="0.25">
      <c r="D724" s="70" t="str">
        <f t="shared" si="11"/>
        <v/>
      </c>
    </row>
    <row r="725" spans="4:4" s="69" customFormat="1" x14ac:dyDescent="0.25">
      <c r="D725" s="70" t="str">
        <f t="shared" si="11"/>
        <v/>
      </c>
    </row>
    <row r="726" spans="4:4" s="69" customFormat="1" x14ac:dyDescent="0.25">
      <c r="D726" s="70" t="str">
        <f t="shared" si="11"/>
        <v/>
      </c>
    </row>
    <row r="727" spans="4:4" s="69" customFormat="1" x14ac:dyDescent="0.25">
      <c r="D727" s="70" t="str">
        <f t="shared" si="11"/>
        <v/>
      </c>
    </row>
    <row r="728" spans="4:4" s="69" customFormat="1" x14ac:dyDescent="0.25">
      <c r="D728" s="70" t="str">
        <f t="shared" si="11"/>
        <v/>
      </c>
    </row>
    <row r="729" spans="4:4" s="69" customFormat="1" x14ac:dyDescent="0.25">
      <c r="D729" s="70" t="str">
        <f t="shared" si="11"/>
        <v/>
      </c>
    </row>
    <row r="730" spans="4:4" s="69" customFormat="1" x14ac:dyDescent="0.25">
      <c r="D730" s="70" t="str">
        <f t="shared" si="11"/>
        <v/>
      </c>
    </row>
    <row r="731" spans="4:4" s="69" customFormat="1" x14ac:dyDescent="0.25">
      <c r="D731" s="70" t="str">
        <f t="shared" si="11"/>
        <v/>
      </c>
    </row>
    <row r="732" spans="4:4" s="69" customFormat="1" x14ac:dyDescent="0.25">
      <c r="D732" s="70" t="str">
        <f t="shared" si="11"/>
        <v/>
      </c>
    </row>
    <row r="733" spans="4:4" s="69" customFormat="1" x14ac:dyDescent="0.25">
      <c r="D733" s="70" t="str">
        <f t="shared" si="11"/>
        <v/>
      </c>
    </row>
    <row r="734" spans="4:4" s="69" customFormat="1" x14ac:dyDescent="0.25">
      <c r="D734" s="70" t="str">
        <f t="shared" si="11"/>
        <v/>
      </c>
    </row>
    <row r="735" spans="4:4" s="69" customFormat="1" x14ac:dyDescent="0.25">
      <c r="D735" s="70" t="str">
        <f t="shared" si="11"/>
        <v/>
      </c>
    </row>
    <row r="736" spans="4:4" s="69" customFormat="1" x14ac:dyDescent="0.25">
      <c r="D736" s="70" t="str">
        <f t="shared" si="11"/>
        <v/>
      </c>
    </row>
    <row r="737" spans="4:4" s="69" customFormat="1" x14ac:dyDescent="0.25">
      <c r="D737" s="70" t="str">
        <f t="shared" si="11"/>
        <v/>
      </c>
    </row>
    <row r="738" spans="4:4" s="69" customFormat="1" x14ac:dyDescent="0.25">
      <c r="D738" s="70" t="str">
        <f t="shared" si="11"/>
        <v/>
      </c>
    </row>
    <row r="739" spans="4:4" s="69" customFormat="1" x14ac:dyDescent="0.25">
      <c r="D739" s="70" t="str">
        <f t="shared" si="11"/>
        <v/>
      </c>
    </row>
    <row r="740" spans="4:4" s="69" customFormat="1" x14ac:dyDescent="0.25">
      <c r="D740" s="70" t="str">
        <f t="shared" si="11"/>
        <v/>
      </c>
    </row>
    <row r="741" spans="4:4" s="69" customFormat="1" x14ac:dyDescent="0.25">
      <c r="D741" s="70" t="str">
        <f t="shared" si="11"/>
        <v/>
      </c>
    </row>
    <row r="742" spans="4:4" s="69" customFormat="1" x14ac:dyDescent="0.25">
      <c r="D742" s="70" t="str">
        <f t="shared" si="11"/>
        <v/>
      </c>
    </row>
    <row r="743" spans="4:4" s="69" customFormat="1" x14ac:dyDescent="0.25">
      <c r="D743" s="70" t="str">
        <f t="shared" si="11"/>
        <v/>
      </c>
    </row>
    <row r="744" spans="4:4" s="69" customFormat="1" x14ac:dyDescent="0.25">
      <c r="D744" s="70" t="str">
        <f t="shared" si="11"/>
        <v/>
      </c>
    </row>
    <row r="745" spans="4:4" s="69" customFormat="1" x14ac:dyDescent="0.25">
      <c r="D745" s="70" t="str">
        <f t="shared" si="11"/>
        <v/>
      </c>
    </row>
    <row r="746" spans="4:4" s="69" customFormat="1" x14ac:dyDescent="0.25">
      <c r="D746" s="70" t="str">
        <f t="shared" si="11"/>
        <v/>
      </c>
    </row>
    <row r="747" spans="4:4" s="69" customFormat="1" x14ac:dyDescent="0.25">
      <c r="D747" s="70" t="str">
        <f t="shared" si="11"/>
        <v/>
      </c>
    </row>
    <row r="748" spans="4:4" s="69" customFormat="1" x14ac:dyDescent="0.25">
      <c r="D748" s="70" t="str">
        <f t="shared" si="11"/>
        <v/>
      </c>
    </row>
    <row r="749" spans="4:4" s="69" customFormat="1" x14ac:dyDescent="0.25">
      <c r="D749" s="70" t="str">
        <f t="shared" si="11"/>
        <v/>
      </c>
    </row>
    <row r="750" spans="4:4" s="69" customFormat="1" x14ac:dyDescent="0.25">
      <c r="D750" s="70" t="str">
        <f t="shared" si="11"/>
        <v/>
      </c>
    </row>
    <row r="751" spans="4:4" s="69" customFormat="1" x14ac:dyDescent="0.25">
      <c r="D751" s="70" t="str">
        <f t="shared" si="11"/>
        <v/>
      </c>
    </row>
    <row r="752" spans="4:4" s="69" customFormat="1" x14ac:dyDescent="0.25">
      <c r="D752" s="70" t="str">
        <f t="shared" si="11"/>
        <v/>
      </c>
    </row>
    <row r="753" spans="4:4" s="69" customFormat="1" x14ac:dyDescent="0.25">
      <c r="D753" s="70" t="str">
        <f t="shared" si="11"/>
        <v/>
      </c>
    </row>
    <row r="754" spans="4:4" s="69" customFormat="1" x14ac:dyDescent="0.25">
      <c r="D754" s="70" t="str">
        <f t="shared" si="11"/>
        <v/>
      </c>
    </row>
    <row r="755" spans="4:4" s="69" customFormat="1" x14ac:dyDescent="0.25">
      <c r="D755" s="70" t="str">
        <f t="shared" si="11"/>
        <v/>
      </c>
    </row>
    <row r="756" spans="4:4" s="69" customFormat="1" x14ac:dyDescent="0.25">
      <c r="D756" s="70" t="str">
        <f t="shared" si="11"/>
        <v/>
      </c>
    </row>
    <row r="757" spans="4:4" s="69" customFormat="1" x14ac:dyDescent="0.25">
      <c r="D757" s="70" t="str">
        <f t="shared" si="11"/>
        <v/>
      </c>
    </row>
    <row r="758" spans="4:4" s="69" customFormat="1" x14ac:dyDescent="0.25">
      <c r="D758" s="70" t="str">
        <f t="shared" si="11"/>
        <v/>
      </c>
    </row>
    <row r="759" spans="4:4" s="69" customFormat="1" x14ac:dyDescent="0.25">
      <c r="D759" s="70" t="str">
        <f t="shared" si="11"/>
        <v/>
      </c>
    </row>
    <row r="760" spans="4:4" s="69" customFormat="1" x14ac:dyDescent="0.25">
      <c r="D760" s="70" t="str">
        <f t="shared" si="11"/>
        <v/>
      </c>
    </row>
    <row r="761" spans="4:4" s="69" customFormat="1" x14ac:dyDescent="0.25">
      <c r="D761" s="70" t="str">
        <f t="shared" si="11"/>
        <v/>
      </c>
    </row>
    <row r="762" spans="4:4" s="69" customFormat="1" x14ac:dyDescent="0.25">
      <c r="D762" s="70" t="str">
        <f t="shared" si="11"/>
        <v/>
      </c>
    </row>
    <row r="763" spans="4:4" s="69" customFormat="1" x14ac:dyDescent="0.25">
      <c r="D763" s="70" t="str">
        <f t="shared" si="11"/>
        <v/>
      </c>
    </row>
    <row r="764" spans="4:4" s="69" customFormat="1" x14ac:dyDescent="0.25">
      <c r="D764" s="70" t="str">
        <f t="shared" si="11"/>
        <v/>
      </c>
    </row>
    <row r="765" spans="4:4" s="69" customFormat="1" x14ac:dyDescent="0.25">
      <c r="D765" s="70" t="str">
        <f t="shared" si="11"/>
        <v/>
      </c>
    </row>
    <row r="766" spans="4:4" s="69" customFormat="1" x14ac:dyDescent="0.25">
      <c r="D766" s="70" t="str">
        <f t="shared" si="11"/>
        <v/>
      </c>
    </row>
    <row r="767" spans="4:4" s="69" customFormat="1" x14ac:dyDescent="0.25">
      <c r="D767" s="70" t="str">
        <f t="shared" si="11"/>
        <v/>
      </c>
    </row>
    <row r="768" spans="4:4" s="69" customFormat="1" x14ac:dyDescent="0.25">
      <c r="D768" s="70" t="str">
        <f t="shared" si="11"/>
        <v/>
      </c>
    </row>
    <row r="769" spans="4:4" s="69" customFormat="1" x14ac:dyDescent="0.25">
      <c r="D769" s="70" t="str">
        <f t="shared" si="11"/>
        <v/>
      </c>
    </row>
    <row r="770" spans="4:4" s="69" customFormat="1" x14ac:dyDescent="0.25">
      <c r="D770" s="70" t="str">
        <f t="shared" si="11"/>
        <v/>
      </c>
    </row>
    <row r="771" spans="4:4" s="69" customFormat="1" x14ac:dyDescent="0.25">
      <c r="D771" s="70" t="str">
        <f t="shared" si="11"/>
        <v/>
      </c>
    </row>
    <row r="772" spans="4:4" s="69" customFormat="1" x14ac:dyDescent="0.25">
      <c r="D772" s="70" t="str">
        <f t="shared" si="11"/>
        <v/>
      </c>
    </row>
    <row r="773" spans="4:4" s="69" customFormat="1" x14ac:dyDescent="0.25">
      <c r="D773" s="70" t="str">
        <f t="shared" si="11"/>
        <v/>
      </c>
    </row>
    <row r="774" spans="4:4" s="69" customFormat="1" x14ac:dyDescent="0.25">
      <c r="D774" s="70" t="str">
        <f t="shared" si="11"/>
        <v/>
      </c>
    </row>
    <row r="775" spans="4:4" s="69" customFormat="1" x14ac:dyDescent="0.25">
      <c r="D775" s="70" t="str">
        <f t="shared" ref="D775:D838" si="12">IF(B775&lt;&gt;"","&lt;file&gt;src\"&amp;B775&amp;".xml&lt;/file&gt;","")</f>
        <v/>
      </c>
    </row>
    <row r="776" spans="4:4" s="69" customFormat="1" x14ac:dyDescent="0.25">
      <c r="D776" s="70" t="str">
        <f t="shared" si="12"/>
        <v/>
      </c>
    </row>
    <row r="777" spans="4:4" s="69" customFormat="1" x14ac:dyDescent="0.25">
      <c r="D777" s="70" t="str">
        <f t="shared" si="12"/>
        <v/>
      </c>
    </row>
    <row r="778" spans="4:4" s="69" customFormat="1" x14ac:dyDescent="0.25">
      <c r="D778" s="70" t="str">
        <f t="shared" si="12"/>
        <v/>
      </c>
    </row>
    <row r="779" spans="4:4" s="69" customFormat="1" x14ac:dyDescent="0.25">
      <c r="D779" s="70" t="str">
        <f t="shared" si="12"/>
        <v/>
      </c>
    </row>
    <row r="780" spans="4:4" s="69" customFormat="1" x14ac:dyDescent="0.25">
      <c r="D780" s="70" t="str">
        <f t="shared" si="12"/>
        <v/>
      </c>
    </row>
    <row r="781" spans="4:4" s="69" customFormat="1" x14ac:dyDescent="0.25">
      <c r="D781" s="70" t="str">
        <f t="shared" si="12"/>
        <v/>
      </c>
    </row>
    <row r="782" spans="4:4" s="69" customFormat="1" x14ac:dyDescent="0.25">
      <c r="D782" s="70" t="str">
        <f t="shared" si="12"/>
        <v/>
      </c>
    </row>
    <row r="783" spans="4:4" s="69" customFormat="1" x14ac:dyDescent="0.25">
      <c r="D783" s="70" t="str">
        <f t="shared" si="12"/>
        <v/>
      </c>
    </row>
    <row r="784" spans="4:4" s="69" customFormat="1" x14ac:dyDescent="0.25">
      <c r="D784" s="70" t="str">
        <f t="shared" si="12"/>
        <v/>
      </c>
    </row>
    <row r="785" spans="4:4" s="69" customFormat="1" x14ac:dyDescent="0.25">
      <c r="D785" s="70" t="str">
        <f t="shared" si="12"/>
        <v/>
      </c>
    </row>
    <row r="786" spans="4:4" s="69" customFormat="1" x14ac:dyDescent="0.25">
      <c r="D786" s="70" t="str">
        <f t="shared" si="12"/>
        <v/>
      </c>
    </row>
    <row r="787" spans="4:4" s="69" customFormat="1" x14ac:dyDescent="0.25">
      <c r="D787" s="70" t="str">
        <f t="shared" si="12"/>
        <v/>
      </c>
    </row>
    <row r="788" spans="4:4" s="69" customFormat="1" x14ac:dyDescent="0.25">
      <c r="D788" s="70" t="str">
        <f t="shared" si="12"/>
        <v/>
      </c>
    </row>
    <row r="789" spans="4:4" s="69" customFormat="1" x14ac:dyDescent="0.25">
      <c r="D789" s="70" t="str">
        <f t="shared" si="12"/>
        <v/>
      </c>
    </row>
    <row r="790" spans="4:4" s="69" customFormat="1" x14ac:dyDescent="0.25">
      <c r="D790" s="70" t="str">
        <f t="shared" si="12"/>
        <v/>
      </c>
    </row>
    <row r="791" spans="4:4" s="69" customFormat="1" x14ac:dyDescent="0.25">
      <c r="D791" s="70" t="str">
        <f t="shared" si="12"/>
        <v/>
      </c>
    </row>
    <row r="792" spans="4:4" s="69" customFormat="1" x14ac:dyDescent="0.25">
      <c r="D792" s="70" t="str">
        <f t="shared" si="12"/>
        <v/>
      </c>
    </row>
    <row r="793" spans="4:4" s="69" customFormat="1" x14ac:dyDescent="0.25">
      <c r="D793" s="70" t="str">
        <f t="shared" si="12"/>
        <v/>
      </c>
    </row>
    <row r="794" spans="4:4" s="69" customFormat="1" x14ac:dyDescent="0.25">
      <c r="D794" s="70" t="str">
        <f t="shared" si="12"/>
        <v/>
      </c>
    </row>
    <row r="795" spans="4:4" s="69" customFormat="1" x14ac:dyDescent="0.25">
      <c r="D795" s="70" t="str">
        <f t="shared" si="12"/>
        <v/>
      </c>
    </row>
    <row r="796" spans="4:4" s="69" customFormat="1" x14ac:dyDescent="0.25">
      <c r="D796" s="70" t="str">
        <f t="shared" si="12"/>
        <v/>
      </c>
    </row>
    <row r="797" spans="4:4" s="69" customFormat="1" x14ac:dyDescent="0.25">
      <c r="D797" s="70" t="str">
        <f t="shared" si="12"/>
        <v/>
      </c>
    </row>
    <row r="798" spans="4:4" s="69" customFormat="1" x14ac:dyDescent="0.25">
      <c r="D798" s="70" t="str">
        <f t="shared" si="12"/>
        <v/>
      </c>
    </row>
    <row r="799" spans="4:4" s="69" customFormat="1" x14ac:dyDescent="0.25">
      <c r="D799" s="70" t="str">
        <f t="shared" si="12"/>
        <v/>
      </c>
    </row>
    <row r="800" spans="4:4" s="69" customFormat="1" x14ac:dyDescent="0.25">
      <c r="D800" s="70" t="str">
        <f t="shared" si="12"/>
        <v/>
      </c>
    </row>
    <row r="801" spans="4:4" s="69" customFormat="1" x14ac:dyDescent="0.25">
      <c r="D801" s="70" t="str">
        <f t="shared" si="12"/>
        <v/>
      </c>
    </row>
    <row r="802" spans="4:4" s="69" customFormat="1" x14ac:dyDescent="0.25">
      <c r="D802" s="70" t="str">
        <f t="shared" si="12"/>
        <v/>
      </c>
    </row>
    <row r="803" spans="4:4" s="69" customFormat="1" x14ac:dyDescent="0.25">
      <c r="D803" s="70" t="str">
        <f t="shared" si="12"/>
        <v/>
      </c>
    </row>
    <row r="804" spans="4:4" s="69" customFormat="1" x14ac:dyDescent="0.25">
      <c r="D804" s="70" t="str">
        <f t="shared" si="12"/>
        <v/>
      </c>
    </row>
    <row r="805" spans="4:4" s="69" customFormat="1" x14ac:dyDescent="0.25">
      <c r="D805" s="70" t="str">
        <f t="shared" si="12"/>
        <v/>
      </c>
    </row>
    <row r="806" spans="4:4" s="69" customFormat="1" x14ac:dyDescent="0.25">
      <c r="D806" s="70" t="str">
        <f t="shared" si="12"/>
        <v/>
      </c>
    </row>
    <row r="807" spans="4:4" s="69" customFormat="1" x14ac:dyDescent="0.25">
      <c r="D807" s="70" t="str">
        <f t="shared" si="12"/>
        <v/>
      </c>
    </row>
    <row r="808" spans="4:4" s="69" customFormat="1" x14ac:dyDescent="0.25">
      <c r="D808" s="70" t="str">
        <f t="shared" si="12"/>
        <v/>
      </c>
    </row>
    <row r="809" spans="4:4" s="69" customFormat="1" x14ac:dyDescent="0.25">
      <c r="D809" s="70" t="str">
        <f t="shared" si="12"/>
        <v/>
      </c>
    </row>
    <row r="810" spans="4:4" s="69" customFormat="1" x14ac:dyDescent="0.25">
      <c r="D810" s="70" t="str">
        <f t="shared" si="12"/>
        <v/>
      </c>
    </row>
    <row r="811" spans="4:4" s="69" customFormat="1" x14ac:dyDescent="0.25">
      <c r="D811" s="70" t="str">
        <f t="shared" si="12"/>
        <v/>
      </c>
    </row>
    <row r="812" spans="4:4" s="69" customFormat="1" x14ac:dyDescent="0.25">
      <c r="D812" s="70" t="str">
        <f t="shared" si="12"/>
        <v/>
      </c>
    </row>
    <row r="813" spans="4:4" s="69" customFormat="1" x14ac:dyDescent="0.25">
      <c r="D813" s="70" t="str">
        <f t="shared" si="12"/>
        <v/>
      </c>
    </row>
    <row r="814" spans="4:4" s="69" customFormat="1" x14ac:dyDescent="0.25">
      <c r="D814" s="70" t="str">
        <f t="shared" si="12"/>
        <v/>
      </c>
    </row>
    <row r="815" spans="4:4" s="69" customFormat="1" x14ac:dyDescent="0.25">
      <c r="D815" s="70" t="str">
        <f t="shared" si="12"/>
        <v/>
      </c>
    </row>
    <row r="816" spans="4:4" s="69" customFormat="1" x14ac:dyDescent="0.25">
      <c r="D816" s="70" t="str">
        <f t="shared" si="12"/>
        <v/>
      </c>
    </row>
    <row r="817" spans="4:4" s="69" customFormat="1" x14ac:dyDescent="0.25">
      <c r="D817" s="70" t="str">
        <f t="shared" si="12"/>
        <v/>
      </c>
    </row>
    <row r="818" spans="4:4" s="69" customFormat="1" x14ac:dyDescent="0.25">
      <c r="D818" s="70" t="str">
        <f t="shared" si="12"/>
        <v/>
      </c>
    </row>
    <row r="819" spans="4:4" s="69" customFormat="1" x14ac:dyDescent="0.25">
      <c r="D819" s="70" t="str">
        <f t="shared" si="12"/>
        <v/>
      </c>
    </row>
    <row r="820" spans="4:4" s="69" customFormat="1" x14ac:dyDescent="0.25">
      <c r="D820" s="70" t="str">
        <f t="shared" si="12"/>
        <v/>
      </c>
    </row>
    <row r="821" spans="4:4" s="69" customFormat="1" x14ac:dyDescent="0.25">
      <c r="D821" s="70" t="str">
        <f t="shared" si="12"/>
        <v/>
      </c>
    </row>
    <row r="822" spans="4:4" s="69" customFormat="1" x14ac:dyDescent="0.25">
      <c r="D822" s="70" t="str">
        <f t="shared" si="12"/>
        <v/>
      </c>
    </row>
    <row r="823" spans="4:4" s="69" customFormat="1" x14ac:dyDescent="0.25">
      <c r="D823" s="70" t="str">
        <f t="shared" si="12"/>
        <v/>
      </c>
    </row>
    <row r="824" spans="4:4" s="69" customFormat="1" x14ac:dyDescent="0.25">
      <c r="D824" s="70" t="str">
        <f t="shared" si="12"/>
        <v/>
      </c>
    </row>
    <row r="825" spans="4:4" s="69" customFormat="1" x14ac:dyDescent="0.25">
      <c r="D825" s="70" t="str">
        <f t="shared" si="12"/>
        <v/>
      </c>
    </row>
    <row r="826" spans="4:4" s="69" customFormat="1" x14ac:dyDescent="0.25">
      <c r="D826" s="70" t="str">
        <f t="shared" si="12"/>
        <v/>
      </c>
    </row>
    <row r="827" spans="4:4" s="69" customFormat="1" x14ac:dyDescent="0.25">
      <c r="D827" s="70" t="str">
        <f t="shared" si="12"/>
        <v/>
      </c>
    </row>
    <row r="828" spans="4:4" s="69" customFormat="1" x14ac:dyDescent="0.25">
      <c r="D828" s="70" t="str">
        <f t="shared" si="12"/>
        <v/>
      </c>
    </row>
    <row r="829" spans="4:4" s="69" customFormat="1" x14ac:dyDescent="0.25">
      <c r="D829" s="70" t="str">
        <f t="shared" si="12"/>
        <v/>
      </c>
    </row>
    <row r="830" spans="4:4" s="69" customFormat="1" x14ac:dyDescent="0.25">
      <c r="D830" s="70" t="str">
        <f t="shared" si="12"/>
        <v/>
      </c>
    </row>
    <row r="831" spans="4:4" s="69" customFormat="1" x14ac:dyDescent="0.25">
      <c r="D831" s="70" t="str">
        <f t="shared" si="12"/>
        <v/>
      </c>
    </row>
    <row r="832" spans="4:4" s="69" customFormat="1" x14ac:dyDescent="0.25">
      <c r="D832" s="70" t="str">
        <f t="shared" si="12"/>
        <v/>
      </c>
    </row>
    <row r="833" spans="4:4" s="69" customFormat="1" x14ac:dyDescent="0.25">
      <c r="D833" s="70" t="str">
        <f t="shared" si="12"/>
        <v/>
      </c>
    </row>
    <row r="834" spans="4:4" s="69" customFormat="1" x14ac:dyDescent="0.25">
      <c r="D834" s="70" t="str">
        <f t="shared" si="12"/>
        <v/>
      </c>
    </row>
    <row r="835" spans="4:4" s="69" customFormat="1" x14ac:dyDescent="0.25">
      <c r="D835" s="70" t="str">
        <f t="shared" si="12"/>
        <v/>
      </c>
    </row>
    <row r="836" spans="4:4" s="69" customFormat="1" x14ac:dyDescent="0.25">
      <c r="D836" s="70" t="str">
        <f t="shared" si="12"/>
        <v/>
      </c>
    </row>
    <row r="837" spans="4:4" s="69" customFormat="1" x14ac:dyDescent="0.25">
      <c r="D837" s="70" t="str">
        <f t="shared" si="12"/>
        <v/>
      </c>
    </row>
    <row r="838" spans="4:4" s="69" customFormat="1" x14ac:dyDescent="0.25">
      <c r="D838" s="70" t="str">
        <f t="shared" si="12"/>
        <v/>
      </c>
    </row>
    <row r="839" spans="4:4" s="69" customFormat="1" x14ac:dyDescent="0.25">
      <c r="D839" s="70" t="str">
        <f t="shared" ref="D839:D902" si="13">IF(B839&lt;&gt;"","&lt;file&gt;src\"&amp;B839&amp;".xml&lt;/file&gt;","")</f>
        <v/>
      </c>
    </row>
    <row r="840" spans="4:4" s="69" customFormat="1" x14ac:dyDescent="0.25">
      <c r="D840" s="70" t="str">
        <f t="shared" si="13"/>
        <v/>
      </c>
    </row>
    <row r="841" spans="4:4" s="69" customFormat="1" x14ac:dyDescent="0.25">
      <c r="D841" s="70" t="str">
        <f t="shared" si="13"/>
        <v/>
      </c>
    </row>
    <row r="842" spans="4:4" s="69" customFormat="1" x14ac:dyDescent="0.25">
      <c r="D842" s="70" t="str">
        <f t="shared" si="13"/>
        <v/>
      </c>
    </row>
    <row r="843" spans="4:4" s="69" customFormat="1" x14ac:dyDescent="0.25">
      <c r="D843" s="70" t="str">
        <f t="shared" si="13"/>
        <v/>
      </c>
    </row>
    <row r="844" spans="4:4" s="69" customFormat="1" x14ac:dyDescent="0.25">
      <c r="D844" s="70" t="str">
        <f t="shared" si="13"/>
        <v/>
      </c>
    </row>
    <row r="845" spans="4:4" s="69" customFormat="1" x14ac:dyDescent="0.25">
      <c r="D845" s="70" t="str">
        <f t="shared" si="13"/>
        <v/>
      </c>
    </row>
    <row r="846" spans="4:4" s="69" customFormat="1" x14ac:dyDescent="0.25">
      <c r="D846" s="70" t="str">
        <f t="shared" si="13"/>
        <v/>
      </c>
    </row>
    <row r="847" spans="4:4" s="69" customFormat="1" x14ac:dyDescent="0.25">
      <c r="D847" s="70" t="str">
        <f t="shared" si="13"/>
        <v/>
      </c>
    </row>
    <row r="848" spans="4:4" s="69" customFormat="1" x14ac:dyDescent="0.25">
      <c r="D848" s="70" t="str">
        <f t="shared" si="13"/>
        <v/>
      </c>
    </row>
    <row r="849" spans="4:4" s="69" customFormat="1" x14ac:dyDescent="0.25">
      <c r="D849" s="70" t="str">
        <f t="shared" si="13"/>
        <v/>
      </c>
    </row>
    <row r="850" spans="4:4" s="69" customFormat="1" x14ac:dyDescent="0.25">
      <c r="D850" s="70" t="str">
        <f t="shared" si="13"/>
        <v/>
      </c>
    </row>
    <row r="851" spans="4:4" s="69" customFormat="1" x14ac:dyDescent="0.25">
      <c r="D851" s="70" t="str">
        <f t="shared" si="13"/>
        <v/>
      </c>
    </row>
    <row r="852" spans="4:4" s="69" customFormat="1" x14ac:dyDescent="0.25">
      <c r="D852" s="70" t="str">
        <f t="shared" si="13"/>
        <v/>
      </c>
    </row>
    <row r="853" spans="4:4" s="69" customFormat="1" x14ac:dyDescent="0.25">
      <c r="D853" s="70" t="str">
        <f t="shared" si="13"/>
        <v/>
      </c>
    </row>
    <row r="854" spans="4:4" s="69" customFormat="1" x14ac:dyDescent="0.25">
      <c r="D854" s="70" t="str">
        <f t="shared" si="13"/>
        <v/>
      </c>
    </row>
    <row r="855" spans="4:4" s="69" customFormat="1" x14ac:dyDescent="0.25">
      <c r="D855" s="70" t="str">
        <f t="shared" si="13"/>
        <v/>
      </c>
    </row>
    <row r="856" spans="4:4" s="69" customFormat="1" x14ac:dyDescent="0.25">
      <c r="D856" s="70" t="str">
        <f t="shared" si="13"/>
        <v/>
      </c>
    </row>
    <row r="857" spans="4:4" s="69" customFormat="1" x14ac:dyDescent="0.25">
      <c r="D857" s="70" t="str">
        <f t="shared" si="13"/>
        <v/>
      </c>
    </row>
    <row r="858" spans="4:4" s="69" customFormat="1" x14ac:dyDescent="0.25">
      <c r="D858" s="70" t="str">
        <f t="shared" si="13"/>
        <v/>
      </c>
    </row>
    <row r="859" spans="4:4" s="69" customFormat="1" x14ac:dyDescent="0.25">
      <c r="D859" s="70" t="str">
        <f t="shared" si="13"/>
        <v/>
      </c>
    </row>
    <row r="860" spans="4:4" s="69" customFormat="1" x14ac:dyDescent="0.25">
      <c r="D860" s="70" t="str">
        <f t="shared" si="13"/>
        <v/>
      </c>
    </row>
    <row r="861" spans="4:4" s="69" customFormat="1" x14ac:dyDescent="0.25">
      <c r="D861" s="70" t="str">
        <f t="shared" si="13"/>
        <v/>
      </c>
    </row>
    <row r="862" spans="4:4" s="69" customFormat="1" x14ac:dyDescent="0.25">
      <c r="D862" s="70" t="str">
        <f t="shared" si="13"/>
        <v/>
      </c>
    </row>
    <row r="863" spans="4:4" s="69" customFormat="1" x14ac:dyDescent="0.25">
      <c r="D863" s="70" t="str">
        <f t="shared" si="13"/>
        <v/>
      </c>
    </row>
    <row r="864" spans="4:4" s="69" customFormat="1" x14ac:dyDescent="0.25">
      <c r="D864" s="70" t="str">
        <f t="shared" si="13"/>
        <v/>
      </c>
    </row>
    <row r="865" spans="4:4" s="69" customFormat="1" x14ac:dyDescent="0.25">
      <c r="D865" s="70" t="str">
        <f t="shared" si="13"/>
        <v/>
      </c>
    </row>
    <row r="866" spans="4:4" s="69" customFormat="1" x14ac:dyDescent="0.25">
      <c r="D866" s="70" t="str">
        <f t="shared" si="13"/>
        <v/>
      </c>
    </row>
    <row r="867" spans="4:4" s="69" customFormat="1" x14ac:dyDescent="0.25">
      <c r="D867" s="70" t="str">
        <f t="shared" si="13"/>
        <v/>
      </c>
    </row>
    <row r="868" spans="4:4" s="69" customFormat="1" x14ac:dyDescent="0.25">
      <c r="D868" s="70" t="str">
        <f t="shared" si="13"/>
        <v/>
      </c>
    </row>
    <row r="869" spans="4:4" s="69" customFormat="1" x14ac:dyDescent="0.25">
      <c r="D869" s="70" t="str">
        <f t="shared" si="13"/>
        <v/>
      </c>
    </row>
    <row r="870" spans="4:4" s="69" customFormat="1" x14ac:dyDescent="0.25">
      <c r="D870" s="70" t="str">
        <f t="shared" si="13"/>
        <v/>
      </c>
    </row>
    <row r="871" spans="4:4" s="69" customFormat="1" x14ac:dyDescent="0.25">
      <c r="D871" s="70" t="str">
        <f t="shared" si="13"/>
        <v/>
      </c>
    </row>
    <row r="872" spans="4:4" s="69" customFormat="1" x14ac:dyDescent="0.25">
      <c r="D872" s="70" t="str">
        <f t="shared" si="13"/>
        <v/>
      </c>
    </row>
    <row r="873" spans="4:4" s="69" customFormat="1" x14ac:dyDescent="0.25">
      <c r="D873" s="70" t="str">
        <f t="shared" si="13"/>
        <v/>
      </c>
    </row>
    <row r="874" spans="4:4" s="69" customFormat="1" x14ac:dyDescent="0.25">
      <c r="D874" s="70" t="str">
        <f t="shared" si="13"/>
        <v/>
      </c>
    </row>
    <row r="875" spans="4:4" s="69" customFormat="1" x14ac:dyDescent="0.25">
      <c r="D875" s="70" t="str">
        <f t="shared" si="13"/>
        <v/>
      </c>
    </row>
    <row r="876" spans="4:4" s="69" customFormat="1" x14ac:dyDescent="0.25">
      <c r="D876" s="70" t="str">
        <f t="shared" si="13"/>
        <v/>
      </c>
    </row>
    <row r="877" spans="4:4" s="69" customFormat="1" x14ac:dyDescent="0.25">
      <c r="D877" s="70" t="str">
        <f t="shared" si="13"/>
        <v/>
      </c>
    </row>
    <row r="878" spans="4:4" s="69" customFormat="1" x14ac:dyDescent="0.25">
      <c r="D878" s="70" t="str">
        <f t="shared" si="13"/>
        <v/>
      </c>
    </row>
    <row r="879" spans="4:4" s="69" customFormat="1" x14ac:dyDescent="0.25">
      <c r="D879" s="70" t="str">
        <f t="shared" si="13"/>
        <v/>
      </c>
    </row>
    <row r="880" spans="4:4" s="69" customFormat="1" x14ac:dyDescent="0.25">
      <c r="D880" s="70" t="str">
        <f t="shared" si="13"/>
        <v/>
      </c>
    </row>
    <row r="881" spans="4:4" s="69" customFormat="1" x14ac:dyDescent="0.25">
      <c r="D881" s="70" t="str">
        <f t="shared" si="13"/>
        <v/>
      </c>
    </row>
    <row r="882" spans="4:4" s="69" customFormat="1" x14ac:dyDescent="0.25">
      <c r="D882" s="70" t="str">
        <f t="shared" si="13"/>
        <v/>
      </c>
    </row>
    <row r="883" spans="4:4" s="69" customFormat="1" x14ac:dyDescent="0.25">
      <c r="D883" s="70" t="str">
        <f t="shared" si="13"/>
        <v/>
      </c>
    </row>
    <row r="884" spans="4:4" s="69" customFormat="1" x14ac:dyDescent="0.25">
      <c r="D884" s="70" t="str">
        <f t="shared" si="13"/>
        <v/>
      </c>
    </row>
    <row r="885" spans="4:4" s="69" customFormat="1" x14ac:dyDescent="0.25">
      <c r="D885" s="70" t="str">
        <f t="shared" si="13"/>
        <v/>
      </c>
    </row>
    <row r="886" spans="4:4" s="69" customFormat="1" x14ac:dyDescent="0.25">
      <c r="D886" s="70" t="str">
        <f t="shared" si="13"/>
        <v/>
      </c>
    </row>
    <row r="887" spans="4:4" s="69" customFormat="1" x14ac:dyDescent="0.25">
      <c r="D887" s="70" t="str">
        <f t="shared" si="13"/>
        <v/>
      </c>
    </row>
    <row r="888" spans="4:4" s="69" customFormat="1" x14ac:dyDescent="0.25">
      <c r="D888" s="70" t="str">
        <f t="shared" si="13"/>
        <v/>
      </c>
    </row>
    <row r="889" spans="4:4" s="69" customFormat="1" x14ac:dyDescent="0.25">
      <c r="D889" s="70" t="str">
        <f t="shared" si="13"/>
        <v/>
      </c>
    </row>
    <row r="890" spans="4:4" s="69" customFormat="1" x14ac:dyDescent="0.25">
      <c r="D890" s="70" t="str">
        <f t="shared" si="13"/>
        <v/>
      </c>
    </row>
    <row r="891" spans="4:4" s="69" customFormat="1" x14ac:dyDescent="0.25">
      <c r="D891" s="70" t="str">
        <f t="shared" si="13"/>
        <v/>
      </c>
    </row>
    <row r="892" spans="4:4" s="69" customFormat="1" x14ac:dyDescent="0.25">
      <c r="D892" s="70" t="str">
        <f t="shared" si="13"/>
        <v/>
      </c>
    </row>
    <row r="893" spans="4:4" s="69" customFormat="1" x14ac:dyDescent="0.25">
      <c r="D893" s="70" t="str">
        <f t="shared" si="13"/>
        <v/>
      </c>
    </row>
    <row r="894" spans="4:4" s="69" customFormat="1" x14ac:dyDescent="0.25">
      <c r="D894" s="70" t="str">
        <f t="shared" si="13"/>
        <v/>
      </c>
    </row>
    <row r="895" spans="4:4" s="69" customFormat="1" x14ac:dyDescent="0.25">
      <c r="D895" s="70" t="str">
        <f t="shared" si="13"/>
        <v/>
      </c>
    </row>
    <row r="896" spans="4:4" s="69" customFormat="1" x14ac:dyDescent="0.25">
      <c r="D896" s="70" t="str">
        <f t="shared" si="13"/>
        <v/>
      </c>
    </row>
    <row r="897" spans="4:4" s="69" customFormat="1" x14ac:dyDescent="0.25">
      <c r="D897" s="70" t="str">
        <f t="shared" si="13"/>
        <v/>
      </c>
    </row>
    <row r="898" spans="4:4" s="69" customFormat="1" x14ac:dyDescent="0.25">
      <c r="D898" s="70" t="str">
        <f t="shared" si="13"/>
        <v/>
      </c>
    </row>
    <row r="899" spans="4:4" s="69" customFormat="1" x14ac:dyDescent="0.25">
      <c r="D899" s="70" t="str">
        <f t="shared" si="13"/>
        <v/>
      </c>
    </row>
    <row r="900" spans="4:4" s="69" customFormat="1" x14ac:dyDescent="0.25">
      <c r="D900" s="70" t="str">
        <f t="shared" si="13"/>
        <v/>
      </c>
    </row>
    <row r="901" spans="4:4" s="69" customFormat="1" x14ac:dyDescent="0.25">
      <c r="D901" s="70" t="str">
        <f t="shared" si="13"/>
        <v/>
      </c>
    </row>
    <row r="902" spans="4:4" s="69" customFormat="1" x14ac:dyDescent="0.25">
      <c r="D902" s="70" t="str">
        <f t="shared" si="13"/>
        <v/>
      </c>
    </row>
    <row r="903" spans="4:4" s="69" customFormat="1" x14ac:dyDescent="0.25">
      <c r="D903" s="70" t="str">
        <f t="shared" ref="D903:D966" si="14">IF(B903&lt;&gt;"","&lt;file&gt;src\"&amp;B903&amp;".xml&lt;/file&gt;","")</f>
        <v/>
      </c>
    </row>
    <row r="904" spans="4:4" s="69" customFormat="1" x14ac:dyDescent="0.25">
      <c r="D904" s="70" t="str">
        <f t="shared" si="14"/>
        <v/>
      </c>
    </row>
    <row r="905" spans="4:4" s="69" customFormat="1" x14ac:dyDescent="0.25">
      <c r="D905" s="70" t="str">
        <f t="shared" si="14"/>
        <v/>
      </c>
    </row>
    <row r="906" spans="4:4" s="69" customFormat="1" x14ac:dyDescent="0.25">
      <c r="D906" s="70" t="str">
        <f t="shared" si="14"/>
        <v/>
      </c>
    </row>
    <row r="907" spans="4:4" s="69" customFormat="1" x14ac:dyDescent="0.25">
      <c r="D907" s="70" t="str">
        <f t="shared" si="14"/>
        <v/>
      </c>
    </row>
    <row r="908" spans="4:4" s="69" customFormat="1" x14ac:dyDescent="0.25">
      <c r="D908" s="70" t="str">
        <f t="shared" si="14"/>
        <v/>
      </c>
    </row>
    <row r="909" spans="4:4" s="69" customFormat="1" x14ac:dyDescent="0.25">
      <c r="D909" s="70" t="str">
        <f t="shared" si="14"/>
        <v/>
      </c>
    </row>
    <row r="910" spans="4:4" s="69" customFormat="1" x14ac:dyDescent="0.25">
      <c r="D910" s="70" t="str">
        <f t="shared" si="14"/>
        <v/>
      </c>
    </row>
    <row r="911" spans="4:4" s="69" customFormat="1" x14ac:dyDescent="0.25">
      <c r="D911" s="70" t="str">
        <f t="shared" si="14"/>
        <v/>
      </c>
    </row>
    <row r="912" spans="4:4" s="69" customFormat="1" x14ac:dyDescent="0.25">
      <c r="D912" s="70" t="str">
        <f t="shared" si="14"/>
        <v/>
      </c>
    </row>
    <row r="913" spans="4:4" s="69" customFormat="1" x14ac:dyDescent="0.25">
      <c r="D913" s="70" t="str">
        <f t="shared" si="14"/>
        <v/>
      </c>
    </row>
    <row r="914" spans="4:4" s="69" customFormat="1" x14ac:dyDescent="0.25">
      <c r="D914" s="70" t="str">
        <f t="shared" si="14"/>
        <v/>
      </c>
    </row>
    <row r="915" spans="4:4" s="69" customFormat="1" x14ac:dyDescent="0.25">
      <c r="D915" s="70" t="str">
        <f t="shared" si="14"/>
        <v/>
      </c>
    </row>
    <row r="916" spans="4:4" s="69" customFormat="1" x14ac:dyDescent="0.25">
      <c r="D916" s="70" t="str">
        <f t="shared" si="14"/>
        <v/>
      </c>
    </row>
    <row r="917" spans="4:4" s="69" customFormat="1" x14ac:dyDescent="0.25">
      <c r="D917" s="70" t="str">
        <f t="shared" si="14"/>
        <v/>
      </c>
    </row>
    <row r="918" spans="4:4" s="69" customFormat="1" x14ac:dyDescent="0.25">
      <c r="D918" s="70" t="str">
        <f t="shared" si="14"/>
        <v/>
      </c>
    </row>
    <row r="919" spans="4:4" s="69" customFormat="1" x14ac:dyDescent="0.25">
      <c r="D919" s="70" t="str">
        <f t="shared" si="14"/>
        <v/>
      </c>
    </row>
    <row r="920" spans="4:4" s="69" customFormat="1" x14ac:dyDescent="0.25">
      <c r="D920" s="70" t="str">
        <f t="shared" si="14"/>
        <v/>
      </c>
    </row>
    <row r="921" spans="4:4" s="69" customFormat="1" x14ac:dyDescent="0.25">
      <c r="D921" s="70" t="str">
        <f t="shared" si="14"/>
        <v/>
      </c>
    </row>
    <row r="922" spans="4:4" s="69" customFormat="1" x14ac:dyDescent="0.25">
      <c r="D922" s="70" t="str">
        <f t="shared" si="14"/>
        <v/>
      </c>
    </row>
    <row r="923" spans="4:4" s="69" customFormat="1" x14ac:dyDescent="0.25">
      <c r="D923" s="70" t="str">
        <f t="shared" si="14"/>
        <v/>
      </c>
    </row>
    <row r="924" spans="4:4" s="69" customFormat="1" x14ac:dyDescent="0.25">
      <c r="D924" s="70" t="str">
        <f t="shared" si="14"/>
        <v/>
      </c>
    </row>
    <row r="925" spans="4:4" s="69" customFormat="1" x14ac:dyDescent="0.25">
      <c r="D925" s="70" t="str">
        <f t="shared" si="14"/>
        <v/>
      </c>
    </row>
    <row r="926" spans="4:4" s="69" customFormat="1" x14ac:dyDescent="0.25">
      <c r="D926" s="70" t="str">
        <f t="shared" si="14"/>
        <v/>
      </c>
    </row>
    <row r="927" spans="4:4" s="69" customFormat="1" x14ac:dyDescent="0.25">
      <c r="D927" s="70" t="str">
        <f t="shared" si="14"/>
        <v/>
      </c>
    </row>
    <row r="928" spans="4:4" s="69" customFormat="1" x14ac:dyDescent="0.25">
      <c r="D928" s="70" t="str">
        <f t="shared" si="14"/>
        <v/>
      </c>
    </row>
    <row r="929" spans="4:4" s="69" customFormat="1" x14ac:dyDescent="0.25">
      <c r="D929" s="70" t="str">
        <f t="shared" si="14"/>
        <v/>
      </c>
    </row>
    <row r="930" spans="4:4" s="69" customFormat="1" x14ac:dyDescent="0.25">
      <c r="D930" s="70" t="str">
        <f t="shared" si="14"/>
        <v/>
      </c>
    </row>
    <row r="931" spans="4:4" s="69" customFormat="1" x14ac:dyDescent="0.25">
      <c r="D931" s="70" t="str">
        <f t="shared" si="14"/>
        <v/>
      </c>
    </row>
    <row r="932" spans="4:4" s="69" customFormat="1" x14ac:dyDescent="0.25">
      <c r="D932" s="70" t="str">
        <f t="shared" si="14"/>
        <v/>
      </c>
    </row>
    <row r="933" spans="4:4" s="69" customFormat="1" x14ac:dyDescent="0.25">
      <c r="D933" s="70" t="str">
        <f t="shared" si="14"/>
        <v/>
      </c>
    </row>
    <row r="934" spans="4:4" s="69" customFormat="1" x14ac:dyDescent="0.25">
      <c r="D934" s="70" t="str">
        <f t="shared" si="14"/>
        <v/>
      </c>
    </row>
    <row r="935" spans="4:4" s="69" customFormat="1" x14ac:dyDescent="0.25">
      <c r="D935" s="70" t="str">
        <f t="shared" si="14"/>
        <v/>
      </c>
    </row>
    <row r="936" spans="4:4" s="69" customFormat="1" x14ac:dyDescent="0.25">
      <c r="D936" s="70" t="str">
        <f t="shared" si="14"/>
        <v/>
      </c>
    </row>
    <row r="937" spans="4:4" s="69" customFormat="1" x14ac:dyDescent="0.25">
      <c r="D937" s="70" t="str">
        <f t="shared" si="14"/>
        <v/>
      </c>
    </row>
    <row r="938" spans="4:4" s="69" customFormat="1" x14ac:dyDescent="0.25">
      <c r="D938" s="70" t="str">
        <f t="shared" si="14"/>
        <v/>
      </c>
    </row>
    <row r="939" spans="4:4" s="69" customFormat="1" x14ac:dyDescent="0.25">
      <c r="D939" s="70" t="str">
        <f t="shared" si="14"/>
        <v/>
      </c>
    </row>
    <row r="940" spans="4:4" s="69" customFormat="1" x14ac:dyDescent="0.25">
      <c r="D940" s="70" t="str">
        <f t="shared" si="14"/>
        <v/>
      </c>
    </row>
    <row r="941" spans="4:4" s="69" customFormat="1" x14ac:dyDescent="0.25">
      <c r="D941" s="70" t="str">
        <f t="shared" si="14"/>
        <v/>
      </c>
    </row>
    <row r="942" spans="4:4" s="69" customFormat="1" x14ac:dyDescent="0.25">
      <c r="D942" s="70" t="str">
        <f t="shared" si="14"/>
        <v/>
      </c>
    </row>
    <row r="943" spans="4:4" s="69" customFormat="1" x14ac:dyDescent="0.25">
      <c r="D943" s="70" t="str">
        <f t="shared" si="14"/>
        <v/>
      </c>
    </row>
    <row r="944" spans="4:4" s="69" customFormat="1" x14ac:dyDescent="0.25">
      <c r="D944" s="70" t="str">
        <f t="shared" si="14"/>
        <v/>
      </c>
    </row>
    <row r="945" spans="4:4" s="69" customFormat="1" x14ac:dyDescent="0.25">
      <c r="D945" s="70" t="str">
        <f t="shared" si="14"/>
        <v/>
      </c>
    </row>
    <row r="946" spans="4:4" s="69" customFormat="1" x14ac:dyDescent="0.25">
      <c r="D946" s="70" t="str">
        <f t="shared" si="14"/>
        <v/>
      </c>
    </row>
    <row r="947" spans="4:4" s="69" customFormat="1" x14ac:dyDescent="0.25">
      <c r="D947" s="70" t="str">
        <f t="shared" si="14"/>
        <v/>
      </c>
    </row>
    <row r="948" spans="4:4" s="69" customFormat="1" x14ac:dyDescent="0.25">
      <c r="D948" s="70" t="str">
        <f t="shared" si="14"/>
        <v/>
      </c>
    </row>
    <row r="949" spans="4:4" s="69" customFormat="1" x14ac:dyDescent="0.25">
      <c r="D949" s="70" t="str">
        <f t="shared" si="14"/>
        <v/>
      </c>
    </row>
    <row r="950" spans="4:4" s="69" customFormat="1" x14ac:dyDescent="0.25">
      <c r="D950" s="70" t="str">
        <f t="shared" si="14"/>
        <v/>
      </c>
    </row>
    <row r="951" spans="4:4" s="69" customFormat="1" x14ac:dyDescent="0.25">
      <c r="D951" s="70" t="str">
        <f t="shared" si="14"/>
        <v/>
      </c>
    </row>
    <row r="952" spans="4:4" s="69" customFormat="1" x14ac:dyDescent="0.25">
      <c r="D952" s="70" t="str">
        <f t="shared" si="14"/>
        <v/>
      </c>
    </row>
    <row r="953" spans="4:4" s="69" customFormat="1" x14ac:dyDescent="0.25">
      <c r="D953" s="70" t="str">
        <f t="shared" si="14"/>
        <v/>
      </c>
    </row>
    <row r="954" spans="4:4" s="69" customFormat="1" x14ac:dyDescent="0.25">
      <c r="D954" s="70" t="str">
        <f t="shared" si="14"/>
        <v/>
      </c>
    </row>
    <row r="955" spans="4:4" s="69" customFormat="1" x14ac:dyDescent="0.25">
      <c r="D955" s="70" t="str">
        <f t="shared" si="14"/>
        <v/>
      </c>
    </row>
    <row r="956" spans="4:4" s="69" customFormat="1" x14ac:dyDescent="0.25">
      <c r="D956" s="70" t="str">
        <f t="shared" si="14"/>
        <v/>
      </c>
    </row>
    <row r="957" spans="4:4" s="69" customFormat="1" x14ac:dyDescent="0.25">
      <c r="D957" s="70" t="str">
        <f t="shared" si="14"/>
        <v/>
      </c>
    </row>
    <row r="958" spans="4:4" s="69" customFormat="1" x14ac:dyDescent="0.25">
      <c r="D958" s="70" t="str">
        <f t="shared" si="14"/>
        <v/>
      </c>
    </row>
    <row r="959" spans="4:4" s="69" customFormat="1" x14ac:dyDescent="0.25">
      <c r="D959" s="70" t="str">
        <f t="shared" si="14"/>
        <v/>
      </c>
    </row>
    <row r="960" spans="4:4" s="69" customFormat="1" x14ac:dyDescent="0.25">
      <c r="D960" s="70" t="str">
        <f t="shared" si="14"/>
        <v/>
      </c>
    </row>
    <row r="961" spans="4:4" s="69" customFormat="1" x14ac:dyDescent="0.25">
      <c r="D961" s="70" t="str">
        <f t="shared" si="14"/>
        <v/>
      </c>
    </row>
    <row r="962" spans="4:4" s="69" customFormat="1" x14ac:dyDescent="0.25">
      <c r="D962" s="70" t="str">
        <f t="shared" si="14"/>
        <v/>
      </c>
    </row>
    <row r="963" spans="4:4" s="69" customFormat="1" x14ac:dyDescent="0.25">
      <c r="D963" s="70" t="str">
        <f t="shared" si="14"/>
        <v/>
      </c>
    </row>
    <row r="964" spans="4:4" s="69" customFormat="1" x14ac:dyDescent="0.25">
      <c r="D964" s="70" t="str">
        <f t="shared" si="14"/>
        <v/>
      </c>
    </row>
    <row r="965" spans="4:4" s="69" customFormat="1" x14ac:dyDescent="0.25">
      <c r="D965" s="70" t="str">
        <f t="shared" si="14"/>
        <v/>
      </c>
    </row>
    <row r="966" spans="4:4" s="69" customFormat="1" x14ac:dyDescent="0.25">
      <c r="D966" s="70" t="str">
        <f t="shared" si="14"/>
        <v/>
      </c>
    </row>
    <row r="967" spans="4:4" s="69" customFormat="1" x14ac:dyDescent="0.25">
      <c r="D967" s="70" t="str">
        <f t="shared" ref="D967:D1030" si="15">IF(B967&lt;&gt;"","&lt;file&gt;src\"&amp;B967&amp;".xml&lt;/file&gt;","")</f>
        <v/>
      </c>
    </row>
    <row r="968" spans="4:4" s="69" customFormat="1" x14ac:dyDescent="0.25">
      <c r="D968" s="70" t="str">
        <f t="shared" si="15"/>
        <v/>
      </c>
    </row>
    <row r="969" spans="4:4" s="69" customFormat="1" x14ac:dyDescent="0.25">
      <c r="D969" s="70" t="str">
        <f t="shared" si="15"/>
        <v/>
      </c>
    </row>
    <row r="970" spans="4:4" s="69" customFormat="1" x14ac:dyDescent="0.25">
      <c r="D970" s="70" t="str">
        <f t="shared" si="15"/>
        <v/>
      </c>
    </row>
    <row r="971" spans="4:4" s="69" customFormat="1" x14ac:dyDescent="0.25">
      <c r="D971" s="70" t="str">
        <f t="shared" si="15"/>
        <v/>
      </c>
    </row>
    <row r="972" spans="4:4" s="69" customFormat="1" x14ac:dyDescent="0.25">
      <c r="D972" s="70" t="str">
        <f t="shared" si="15"/>
        <v/>
      </c>
    </row>
    <row r="973" spans="4:4" s="69" customFormat="1" x14ac:dyDescent="0.25">
      <c r="D973" s="70" t="str">
        <f t="shared" si="15"/>
        <v/>
      </c>
    </row>
    <row r="974" spans="4:4" s="69" customFormat="1" x14ac:dyDescent="0.25">
      <c r="D974" s="70" t="str">
        <f t="shared" si="15"/>
        <v/>
      </c>
    </row>
    <row r="975" spans="4:4" s="69" customFormat="1" x14ac:dyDescent="0.25">
      <c r="D975" s="70" t="str">
        <f t="shared" si="15"/>
        <v/>
      </c>
    </row>
    <row r="976" spans="4:4" s="69" customFormat="1" x14ac:dyDescent="0.25">
      <c r="D976" s="70" t="str">
        <f t="shared" si="15"/>
        <v/>
      </c>
    </row>
    <row r="977" spans="4:4" s="69" customFormat="1" x14ac:dyDescent="0.25">
      <c r="D977" s="70" t="str">
        <f t="shared" si="15"/>
        <v/>
      </c>
    </row>
    <row r="978" spans="4:4" s="69" customFormat="1" x14ac:dyDescent="0.25">
      <c r="D978" s="70" t="str">
        <f t="shared" si="15"/>
        <v/>
      </c>
    </row>
    <row r="979" spans="4:4" s="69" customFormat="1" x14ac:dyDescent="0.25">
      <c r="D979" s="70" t="str">
        <f t="shared" si="15"/>
        <v/>
      </c>
    </row>
    <row r="980" spans="4:4" s="69" customFormat="1" x14ac:dyDescent="0.25">
      <c r="D980" s="70" t="str">
        <f t="shared" si="15"/>
        <v/>
      </c>
    </row>
    <row r="981" spans="4:4" s="69" customFormat="1" x14ac:dyDescent="0.25">
      <c r="D981" s="70" t="str">
        <f t="shared" si="15"/>
        <v/>
      </c>
    </row>
    <row r="982" spans="4:4" s="69" customFormat="1" x14ac:dyDescent="0.25">
      <c r="D982" s="70" t="str">
        <f t="shared" si="15"/>
        <v/>
      </c>
    </row>
    <row r="983" spans="4:4" s="69" customFormat="1" x14ac:dyDescent="0.25">
      <c r="D983" s="70" t="str">
        <f t="shared" si="15"/>
        <v/>
      </c>
    </row>
    <row r="984" spans="4:4" s="69" customFormat="1" x14ac:dyDescent="0.25">
      <c r="D984" s="70" t="str">
        <f t="shared" si="15"/>
        <v/>
      </c>
    </row>
    <row r="985" spans="4:4" s="69" customFormat="1" x14ac:dyDescent="0.25">
      <c r="D985" s="70" t="str">
        <f t="shared" si="15"/>
        <v/>
      </c>
    </row>
    <row r="986" spans="4:4" s="69" customFormat="1" x14ac:dyDescent="0.25">
      <c r="D986" s="70" t="str">
        <f t="shared" si="15"/>
        <v/>
      </c>
    </row>
    <row r="987" spans="4:4" s="69" customFormat="1" x14ac:dyDescent="0.25">
      <c r="D987" s="70" t="str">
        <f t="shared" si="15"/>
        <v/>
      </c>
    </row>
    <row r="988" spans="4:4" s="69" customFormat="1" x14ac:dyDescent="0.25">
      <c r="D988" s="70" t="str">
        <f t="shared" si="15"/>
        <v/>
      </c>
    </row>
    <row r="989" spans="4:4" s="69" customFormat="1" x14ac:dyDescent="0.25">
      <c r="D989" s="70" t="str">
        <f t="shared" si="15"/>
        <v/>
      </c>
    </row>
    <row r="990" spans="4:4" s="69" customFormat="1" x14ac:dyDescent="0.25">
      <c r="D990" s="70" t="str">
        <f t="shared" si="15"/>
        <v/>
      </c>
    </row>
    <row r="991" spans="4:4" s="69" customFormat="1" x14ac:dyDescent="0.25">
      <c r="D991" s="70" t="str">
        <f t="shared" si="15"/>
        <v/>
      </c>
    </row>
    <row r="992" spans="4:4" s="69" customFormat="1" x14ac:dyDescent="0.25">
      <c r="D992" s="70" t="str">
        <f t="shared" si="15"/>
        <v/>
      </c>
    </row>
    <row r="993" spans="4:4" s="69" customFormat="1" x14ac:dyDescent="0.25">
      <c r="D993" s="70" t="str">
        <f t="shared" si="15"/>
        <v/>
      </c>
    </row>
    <row r="994" spans="4:4" s="69" customFormat="1" x14ac:dyDescent="0.25">
      <c r="D994" s="70" t="str">
        <f t="shared" si="15"/>
        <v/>
      </c>
    </row>
    <row r="995" spans="4:4" s="69" customFormat="1" x14ac:dyDescent="0.25">
      <c r="D995" s="70" t="str">
        <f t="shared" si="15"/>
        <v/>
      </c>
    </row>
    <row r="996" spans="4:4" s="69" customFormat="1" x14ac:dyDescent="0.25">
      <c r="D996" s="70" t="str">
        <f t="shared" si="15"/>
        <v/>
      </c>
    </row>
    <row r="997" spans="4:4" s="69" customFormat="1" x14ac:dyDescent="0.25">
      <c r="D997" s="70" t="str">
        <f t="shared" si="15"/>
        <v/>
      </c>
    </row>
    <row r="998" spans="4:4" s="69" customFormat="1" x14ac:dyDescent="0.25">
      <c r="D998" s="70" t="str">
        <f t="shared" si="15"/>
        <v/>
      </c>
    </row>
    <row r="999" spans="4:4" s="69" customFormat="1" x14ac:dyDescent="0.25">
      <c r="D999" s="70" t="str">
        <f t="shared" si="15"/>
        <v/>
      </c>
    </row>
    <row r="1000" spans="4:4" s="69" customFormat="1" x14ac:dyDescent="0.25">
      <c r="D1000" s="70" t="str">
        <f t="shared" si="15"/>
        <v/>
      </c>
    </row>
    <row r="1001" spans="4:4" s="69" customFormat="1" x14ac:dyDescent="0.25">
      <c r="D1001" s="70" t="str">
        <f t="shared" si="15"/>
        <v/>
      </c>
    </row>
    <row r="1002" spans="4:4" s="69" customFormat="1" x14ac:dyDescent="0.25">
      <c r="D1002" s="70" t="str">
        <f t="shared" si="15"/>
        <v/>
      </c>
    </row>
    <row r="1003" spans="4:4" s="69" customFormat="1" x14ac:dyDescent="0.25">
      <c r="D1003" s="70" t="str">
        <f t="shared" si="15"/>
        <v/>
      </c>
    </row>
    <row r="1004" spans="4:4" s="69" customFormat="1" x14ac:dyDescent="0.25">
      <c r="D1004" s="70" t="str">
        <f t="shared" si="15"/>
        <v/>
      </c>
    </row>
    <row r="1005" spans="4:4" s="69" customFormat="1" x14ac:dyDescent="0.25">
      <c r="D1005" s="70" t="str">
        <f t="shared" si="15"/>
        <v/>
      </c>
    </row>
    <row r="1006" spans="4:4" s="69" customFormat="1" x14ac:dyDescent="0.25">
      <c r="D1006" s="70" t="str">
        <f t="shared" si="15"/>
        <v/>
      </c>
    </row>
    <row r="1007" spans="4:4" s="69" customFormat="1" x14ac:dyDescent="0.25">
      <c r="D1007" s="70" t="str">
        <f t="shared" si="15"/>
        <v/>
      </c>
    </row>
    <row r="1008" spans="4:4" s="69" customFormat="1" x14ac:dyDescent="0.25">
      <c r="D1008" s="70" t="str">
        <f t="shared" si="15"/>
        <v/>
      </c>
    </row>
    <row r="1009" spans="4:4" s="69" customFormat="1" x14ac:dyDescent="0.25">
      <c r="D1009" s="70" t="str">
        <f t="shared" si="15"/>
        <v/>
      </c>
    </row>
    <row r="1010" spans="4:4" s="69" customFormat="1" x14ac:dyDescent="0.25">
      <c r="D1010" s="70" t="str">
        <f t="shared" si="15"/>
        <v/>
      </c>
    </row>
    <row r="1011" spans="4:4" s="69" customFormat="1" x14ac:dyDescent="0.25">
      <c r="D1011" s="70" t="str">
        <f t="shared" si="15"/>
        <v/>
      </c>
    </row>
    <row r="1012" spans="4:4" s="69" customFormat="1" x14ac:dyDescent="0.25">
      <c r="D1012" s="70" t="str">
        <f t="shared" si="15"/>
        <v/>
      </c>
    </row>
    <row r="1013" spans="4:4" s="69" customFormat="1" x14ac:dyDescent="0.25">
      <c r="D1013" s="70" t="str">
        <f t="shared" si="15"/>
        <v/>
      </c>
    </row>
    <row r="1014" spans="4:4" s="69" customFormat="1" x14ac:dyDescent="0.25">
      <c r="D1014" s="70" t="str">
        <f t="shared" si="15"/>
        <v/>
      </c>
    </row>
    <row r="1015" spans="4:4" s="69" customFormat="1" x14ac:dyDescent="0.25">
      <c r="D1015" s="70" t="str">
        <f t="shared" si="15"/>
        <v/>
      </c>
    </row>
    <row r="1016" spans="4:4" s="69" customFormat="1" x14ac:dyDescent="0.25">
      <c r="D1016" s="70" t="str">
        <f t="shared" si="15"/>
        <v/>
      </c>
    </row>
    <row r="1017" spans="4:4" s="69" customFormat="1" x14ac:dyDescent="0.25">
      <c r="D1017" s="70" t="str">
        <f t="shared" si="15"/>
        <v/>
      </c>
    </row>
    <row r="1018" spans="4:4" s="69" customFormat="1" x14ac:dyDescent="0.25">
      <c r="D1018" s="70" t="str">
        <f t="shared" si="15"/>
        <v/>
      </c>
    </row>
    <row r="1019" spans="4:4" s="69" customFormat="1" x14ac:dyDescent="0.25">
      <c r="D1019" s="70" t="str">
        <f t="shared" si="15"/>
        <v/>
      </c>
    </row>
    <row r="1020" spans="4:4" s="69" customFormat="1" x14ac:dyDescent="0.25">
      <c r="D1020" s="70" t="str">
        <f t="shared" si="15"/>
        <v/>
      </c>
    </row>
    <row r="1021" spans="4:4" s="69" customFormat="1" x14ac:dyDescent="0.25">
      <c r="D1021" s="70" t="str">
        <f t="shared" si="15"/>
        <v/>
      </c>
    </row>
    <row r="1022" spans="4:4" s="69" customFormat="1" x14ac:dyDescent="0.25">
      <c r="D1022" s="70" t="str">
        <f t="shared" si="15"/>
        <v/>
      </c>
    </row>
    <row r="1023" spans="4:4" s="69" customFormat="1" x14ac:dyDescent="0.25">
      <c r="D1023" s="70" t="str">
        <f t="shared" si="15"/>
        <v/>
      </c>
    </row>
    <row r="1024" spans="4:4" s="69" customFormat="1" x14ac:dyDescent="0.25">
      <c r="D1024" s="70" t="str">
        <f t="shared" si="15"/>
        <v/>
      </c>
    </row>
    <row r="1025" spans="4:4" s="69" customFormat="1" x14ac:dyDescent="0.25">
      <c r="D1025" s="70" t="str">
        <f t="shared" si="15"/>
        <v/>
      </c>
    </row>
    <row r="1026" spans="4:4" s="69" customFormat="1" x14ac:dyDescent="0.25">
      <c r="D1026" s="70" t="str">
        <f t="shared" si="15"/>
        <v/>
      </c>
    </row>
    <row r="1027" spans="4:4" s="69" customFormat="1" x14ac:dyDescent="0.25">
      <c r="D1027" s="70" t="str">
        <f t="shared" si="15"/>
        <v/>
      </c>
    </row>
    <row r="1028" spans="4:4" s="69" customFormat="1" x14ac:dyDescent="0.25">
      <c r="D1028" s="70" t="str">
        <f t="shared" si="15"/>
        <v/>
      </c>
    </row>
    <row r="1029" spans="4:4" s="69" customFormat="1" x14ac:dyDescent="0.25">
      <c r="D1029" s="70" t="str">
        <f t="shared" si="15"/>
        <v/>
      </c>
    </row>
    <row r="1030" spans="4:4" s="69" customFormat="1" x14ac:dyDescent="0.25">
      <c r="D1030" s="70" t="str">
        <f t="shared" si="15"/>
        <v/>
      </c>
    </row>
    <row r="1031" spans="4:4" s="69" customFormat="1" x14ac:dyDescent="0.25">
      <c r="D1031" s="70" t="str">
        <f t="shared" ref="D1031:D1094" si="16">IF(B1031&lt;&gt;"","&lt;file&gt;src\"&amp;B1031&amp;".xml&lt;/file&gt;","")</f>
        <v/>
      </c>
    </row>
    <row r="1032" spans="4:4" s="69" customFormat="1" x14ac:dyDescent="0.25">
      <c r="D1032" s="70" t="str">
        <f t="shared" si="16"/>
        <v/>
      </c>
    </row>
    <row r="1033" spans="4:4" s="69" customFormat="1" x14ac:dyDescent="0.25">
      <c r="D1033" s="70" t="str">
        <f t="shared" si="16"/>
        <v/>
      </c>
    </row>
    <row r="1034" spans="4:4" s="69" customFormat="1" x14ac:dyDescent="0.25">
      <c r="D1034" s="70" t="str">
        <f t="shared" si="16"/>
        <v/>
      </c>
    </row>
    <row r="1035" spans="4:4" s="69" customFormat="1" x14ac:dyDescent="0.25">
      <c r="D1035" s="70" t="str">
        <f t="shared" si="16"/>
        <v/>
      </c>
    </row>
    <row r="1036" spans="4:4" s="69" customFormat="1" x14ac:dyDescent="0.25">
      <c r="D1036" s="70" t="str">
        <f t="shared" si="16"/>
        <v/>
      </c>
    </row>
    <row r="1037" spans="4:4" s="69" customFormat="1" x14ac:dyDescent="0.25">
      <c r="D1037" s="70" t="str">
        <f t="shared" si="16"/>
        <v/>
      </c>
    </row>
    <row r="1038" spans="4:4" s="69" customFormat="1" x14ac:dyDescent="0.25">
      <c r="D1038" s="70" t="str">
        <f t="shared" si="16"/>
        <v/>
      </c>
    </row>
    <row r="1039" spans="4:4" s="69" customFormat="1" x14ac:dyDescent="0.25">
      <c r="D1039" s="70" t="str">
        <f t="shared" si="16"/>
        <v/>
      </c>
    </row>
    <row r="1040" spans="4:4" s="69" customFormat="1" x14ac:dyDescent="0.25">
      <c r="D1040" s="70" t="str">
        <f t="shared" si="16"/>
        <v/>
      </c>
    </row>
    <row r="1041" spans="4:4" s="69" customFormat="1" x14ac:dyDescent="0.25">
      <c r="D1041" s="70" t="str">
        <f t="shared" si="16"/>
        <v/>
      </c>
    </row>
    <row r="1042" spans="4:4" s="69" customFormat="1" x14ac:dyDescent="0.25">
      <c r="D1042" s="70" t="str">
        <f t="shared" si="16"/>
        <v/>
      </c>
    </row>
    <row r="1043" spans="4:4" s="69" customFormat="1" x14ac:dyDescent="0.25">
      <c r="D1043" s="70" t="str">
        <f t="shared" si="16"/>
        <v/>
      </c>
    </row>
    <row r="1044" spans="4:4" s="69" customFormat="1" x14ac:dyDescent="0.25">
      <c r="D1044" s="70" t="str">
        <f t="shared" si="16"/>
        <v/>
      </c>
    </row>
    <row r="1045" spans="4:4" s="69" customFormat="1" x14ac:dyDescent="0.25">
      <c r="D1045" s="70" t="str">
        <f t="shared" si="16"/>
        <v/>
      </c>
    </row>
    <row r="1046" spans="4:4" s="69" customFormat="1" x14ac:dyDescent="0.25">
      <c r="D1046" s="70" t="str">
        <f t="shared" si="16"/>
        <v/>
      </c>
    </row>
    <row r="1047" spans="4:4" s="69" customFormat="1" x14ac:dyDescent="0.25">
      <c r="D1047" s="70" t="str">
        <f t="shared" si="16"/>
        <v/>
      </c>
    </row>
    <row r="1048" spans="4:4" s="69" customFormat="1" x14ac:dyDescent="0.25">
      <c r="D1048" s="70" t="str">
        <f t="shared" si="16"/>
        <v/>
      </c>
    </row>
    <row r="1049" spans="4:4" s="69" customFormat="1" x14ac:dyDescent="0.25">
      <c r="D1049" s="70" t="str">
        <f t="shared" si="16"/>
        <v/>
      </c>
    </row>
    <row r="1050" spans="4:4" s="69" customFormat="1" x14ac:dyDescent="0.25">
      <c r="D1050" s="70" t="str">
        <f t="shared" si="16"/>
        <v/>
      </c>
    </row>
    <row r="1051" spans="4:4" s="69" customFormat="1" x14ac:dyDescent="0.25">
      <c r="D1051" s="70" t="str">
        <f t="shared" si="16"/>
        <v/>
      </c>
    </row>
    <row r="1052" spans="4:4" s="69" customFormat="1" x14ac:dyDescent="0.25">
      <c r="D1052" s="70" t="str">
        <f t="shared" si="16"/>
        <v/>
      </c>
    </row>
    <row r="1053" spans="4:4" s="69" customFormat="1" x14ac:dyDescent="0.25">
      <c r="D1053" s="70" t="str">
        <f t="shared" si="16"/>
        <v/>
      </c>
    </row>
    <row r="1054" spans="4:4" s="69" customFormat="1" x14ac:dyDescent="0.25">
      <c r="D1054" s="70" t="str">
        <f t="shared" si="16"/>
        <v/>
      </c>
    </row>
    <row r="1055" spans="4:4" s="69" customFormat="1" x14ac:dyDescent="0.25">
      <c r="D1055" s="70" t="str">
        <f t="shared" si="16"/>
        <v/>
      </c>
    </row>
    <row r="1056" spans="4:4" s="69" customFormat="1" x14ac:dyDescent="0.25">
      <c r="D1056" s="70" t="str">
        <f t="shared" si="16"/>
        <v/>
      </c>
    </row>
    <row r="1057" spans="4:4" s="69" customFormat="1" x14ac:dyDescent="0.25">
      <c r="D1057" s="70" t="str">
        <f t="shared" si="16"/>
        <v/>
      </c>
    </row>
    <row r="1058" spans="4:4" s="69" customFormat="1" x14ac:dyDescent="0.25">
      <c r="D1058" s="70" t="str">
        <f t="shared" si="16"/>
        <v/>
      </c>
    </row>
    <row r="1059" spans="4:4" s="69" customFormat="1" x14ac:dyDescent="0.25">
      <c r="D1059" s="70" t="str">
        <f t="shared" si="16"/>
        <v/>
      </c>
    </row>
    <row r="1060" spans="4:4" s="69" customFormat="1" x14ac:dyDescent="0.25">
      <c r="D1060" s="70" t="str">
        <f t="shared" si="16"/>
        <v/>
      </c>
    </row>
    <row r="1061" spans="4:4" s="69" customFormat="1" x14ac:dyDescent="0.25">
      <c r="D1061" s="70" t="str">
        <f t="shared" si="16"/>
        <v/>
      </c>
    </row>
    <row r="1062" spans="4:4" s="69" customFormat="1" x14ac:dyDescent="0.25">
      <c r="D1062" s="70" t="str">
        <f t="shared" si="16"/>
        <v/>
      </c>
    </row>
    <row r="1063" spans="4:4" s="69" customFormat="1" x14ac:dyDescent="0.25">
      <c r="D1063" s="70" t="str">
        <f t="shared" si="16"/>
        <v/>
      </c>
    </row>
    <row r="1064" spans="4:4" s="69" customFormat="1" x14ac:dyDescent="0.25">
      <c r="D1064" s="70" t="str">
        <f t="shared" si="16"/>
        <v/>
      </c>
    </row>
    <row r="1065" spans="4:4" s="69" customFormat="1" x14ac:dyDescent="0.25">
      <c r="D1065" s="70" t="str">
        <f t="shared" si="16"/>
        <v/>
      </c>
    </row>
    <row r="1066" spans="4:4" s="69" customFormat="1" x14ac:dyDescent="0.25">
      <c r="D1066" s="70" t="str">
        <f t="shared" si="16"/>
        <v/>
      </c>
    </row>
    <row r="1067" spans="4:4" s="69" customFormat="1" x14ac:dyDescent="0.25">
      <c r="D1067" s="70" t="str">
        <f t="shared" si="16"/>
        <v/>
      </c>
    </row>
    <row r="1068" spans="4:4" s="69" customFormat="1" x14ac:dyDescent="0.25">
      <c r="D1068" s="70" t="str">
        <f t="shared" si="16"/>
        <v/>
      </c>
    </row>
    <row r="1069" spans="4:4" s="69" customFormat="1" x14ac:dyDescent="0.25">
      <c r="D1069" s="70" t="str">
        <f t="shared" si="16"/>
        <v/>
      </c>
    </row>
    <row r="1070" spans="4:4" s="69" customFormat="1" x14ac:dyDescent="0.25">
      <c r="D1070" s="70" t="str">
        <f t="shared" si="16"/>
        <v/>
      </c>
    </row>
    <row r="1071" spans="4:4" s="69" customFormat="1" x14ac:dyDescent="0.25">
      <c r="D1071" s="70" t="str">
        <f t="shared" si="16"/>
        <v/>
      </c>
    </row>
    <row r="1072" spans="4:4" s="69" customFormat="1" x14ac:dyDescent="0.25">
      <c r="D1072" s="70" t="str">
        <f t="shared" si="16"/>
        <v/>
      </c>
    </row>
    <row r="1073" spans="4:4" s="69" customFormat="1" x14ac:dyDescent="0.25">
      <c r="D1073" s="70" t="str">
        <f t="shared" si="16"/>
        <v/>
      </c>
    </row>
    <row r="1074" spans="4:4" s="69" customFormat="1" x14ac:dyDescent="0.25">
      <c r="D1074" s="70" t="str">
        <f t="shared" si="16"/>
        <v/>
      </c>
    </row>
    <row r="1075" spans="4:4" s="69" customFormat="1" x14ac:dyDescent="0.25">
      <c r="D1075" s="70" t="str">
        <f t="shared" si="16"/>
        <v/>
      </c>
    </row>
    <row r="1076" spans="4:4" s="69" customFormat="1" x14ac:dyDescent="0.25">
      <c r="D1076" s="70" t="str">
        <f t="shared" si="16"/>
        <v/>
      </c>
    </row>
    <row r="1077" spans="4:4" s="69" customFormat="1" x14ac:dyDescent="0.25">
      <c r="D1077" s="70" t="str">
        <f t="shared" si="16"/>
        <v/>
      </c>
    </row>
    <row r="1078" spans="4:4" s="69" customFormat="1" x14ac:dyDescent="0.25">
      <c r="D1078" s="70" t="str">
        <f t="shared" si="16"/>
        <v/>
      </c>
    </row>
    <row r="1079" spans="4:4" s="69" customFormat="1" x14ac:dyDescent="0.25">
      <c r="D1079" s="70" t="str">
        <f t="shared" si="16"/>
        <v/>
      </c>
    </row>
    <row r="1080" spans="4:4" s="69" customFormat="1" x14ac:dyDescent="0.25">
      <c r="D1080" s="70" t="str">
        <f t="shared" si="16"/>
        <v/>
      </c>
    </row>
    <row r="1081" spans="4:4" s="69" customFormat="1" x14ac:dyDescent="0.25">
      <c r="D1081" s="70" t="str">
        <f t="shared" si="16"/>
        <v/>
      </c>
    </row>
    <row r="1082" spans="4:4" s="69" customFormat="1" x14ac:dyDescent="0.25">
      <c r="D1082" s="70" t="str">
        <f t="shared" si="16"/>
        <v/>
      </c>
    </row>
    <row r="1083" spans="4:4" s="69" customFormat="1" x14ac:dyDescent="0.25">
      <c r="D1083" s="70" t="str">
        <f t="shared" si="16"/>
        <v/>
      </c>
    </row>
    <row r="1084" spans="4:4" s="69" customFormat="1" x14ac:dyDescent="0.25">
      <c r="D1084" s="70" t="str">
        <f t="shared" si="16"/>
        <v/>
      </c>
    </row>
    <row r="1085" spans="4:4" s="69" customFormat="1" x14ac:dyDescent="0.25">
      <c r="D1085" s="70" t="str">
        <f t="shared" si="16"/>
        <v/>
      </c>
    </row>
    <row r="1086" spans="4:4" s="69" customFormat="1" x14ac:dyDescent="0.25">
      <c r="D1086" s="70" t="str">
        <f t="shared" si="16"/>
        <v/>
      </c>
    </row>
    <row r="1087" spans="4:4" s="69" customFormat="1" x14ac:dyDescent="0.25">
      <c r="D1087" s="70" t="str">
        <f t="shared" si="16"/>
        <v/>
      </c>
    </row>
    <row r="1088" spans="4:4" s="69" customFormat="1" x14ac:dyDescent="0.25">
      <c r="D1088" s="70" t="str">
        <f t="shared" si="16"/>
        <v/>
      </c>
    </row>
    <row r="1089" spans="4:4" s="69" customFormat="1" x14ac:dyDescent="0.25">
      <c r="D1089" s="70" t="str">
        <f t="shared" si="16"/>
        <v/>
      </c>
    </row>
    <row r="1090" spans="4:4" s="69" customFormat="1" x14ac:dyDescent="0.25">
      <c r="D1090" s="70" t="str">
        <f t="shared" si="16"/>
        <v/>
      </c>
    </row>
    <row r="1091" spans="4:4" s="69" customFormat="1" x14ac:dyDescent="0.25">
      <c r="D1091" s="70" t="str">
        <f t="shared" si="16"/>
        <v/>
      </c>
    </row>
    <row r="1092" spans="4:4" s="69" customFormat="1" x14ac:dyDescent="0.25">
      <c r="D1092" s="70" t="str">
        <f t="shared" si="16"/>
        <v/>
      </c>
    </row>
    <row r="1093" spans="4:4" s="69" customFormat="1" x14ac:dyDescent="0.25">
      <c r="D1093" s="70" t="str">
        <f t="shared" si="16"/>
        <v/>
      </c>
    </row>
    <row r="1094" spans="4:4" s="69" customFormat="1" x14ac:dyDescent="0.25">
      <c r="D1094" s="70" t="str">
        <f t="shared" si="16"/>
        <v/>
      </c>
    </row>
    <row r="1095" spans="4:4" s="69" customFormat="1" x14ac:dyDescent="0.25">
      <c r="D1095" s="70" t="str">
        <f t="shared" ref="D1095:D1158" si="17">IF(B1095&lt;&gt;"","&lt;file&gt;src\"&amp;B1095&amp;".xml&lt;/file&gt;","")</f>
        <v/>
      </c>
    </row>
    <row r="1096" spans="4:4" s="69" customFormat="1" x14ac:dyDescent="0.25">
      <c r="D1096" s="70" t="str">
        <f t="shared" si="17"/>
        <v/>
      </c>
    </row>
    <row r="1097" spans="4:4" s="69" customFormat="1" x14ac:dyDescent="0.25">
      <c r="D1097" s="70" t="str">
        <f t="shared" si="17"/>
        <v/>
      </c>
    </row>
    <row r="1098" spans="4:4" s="69" customFormat="1" x14ac:dyDescent="0.25">
      <c r="D1098" s="70" t="str">
        <f t="shared" si="17"/>
        <v/>
      </c>
    </row>
    <row r="1099" spans="4:4" s="69" customFormat="1" x14ac:dyDescent="0.25">
      <c r="D1099" s="70" t="str">
        <f t="shared" si="17"/>
        <v/>
      </c>
    </row>
    <row r="1100" spans="4:4" s="69" customFormat="1" x14ac:dyDescent="0.25">
      <c r="D1100" s="70" t="str">
        <f t="shared" si="17"/>
        <v/>
      </c>
    </row>
    <row r="1101" spans="4:4" s="69" customFormat="1" x14ac:dyDescent="0.25">
      <c r="D1101" s="70" t="str">
        <f t="shared" si="17"/>
        <v/>
      </c>
    </row>
    <row r="1102" spans="4:4" s="69" customFormat="1" x14ac:dyDescent="0.25">
      <c r="D1102" s="70" t="str">
        <f t="shared" si="17"/>
        <v/>
      </c>
    </row>
    <row r="1103" spans="4:4" s="69" customFormat="1" x14ac:dyDescent="0.25">
      <c r="D1103" s="70" t="str">
        <f t="shared" si="17"/>
        <v/>
      </c>
    </row>
    <row r="1104" spans="4:4" s="69" customFormat="1" x14ac:dyDescent="0.25">
      <c r="D1104" s="70" t="str">
        <f t="shared" si="17"/>
        <v/>
      </c>
    </row>
    <row r="1105" spans="4:4" s="69" customFormat="1" x14ac:dyDescent="0.25">
      <c r="D1105" s="70" t="str">
        <f t="shared" si="17"/>
        <v/>
      </c>
    </row>
    <row r="1106" spans="4:4" s="69" customFormat="1" x14ac:dyDescent="0.25">
      <c r="D1106" s="70" t="str">
        <f t="shared" si="17"/>
        <v/>
      </c>
    </row>
    <row r="1107" spans="4:4" s="69" customFormat="1" x14ac:dyDescent="0.25">
      <c r="D1107" s="70" t="str">
        <f t="shared" si="17"/>
        <v/>
      </c>
    </row>
    <row r="1108" spans="4:4" s="69" customFormat="1" x14ac:dyDescent="0.25">
      <c r="D1108" s="70" t="str">
        <f t="shared" si="17"/>
        <v/>
      </c>
    </row>
    <row r="1109" spans="4:4" s="69" customFormat="1" x14ac:dyDescent="0.25">
      <c r="D1109" s="70" t="str">
        <f t="shared" si="17"/>
        <v/>
      </c>
    </row>
    <row r="1110" spans="4:4" s="69" customFormat="1" x14ac:dyDescent="0.25">
      <c r="D1110" s="70" t="str">
        <f t="shared" si="17"/>
        <v/>
      </c>
    </row>
    <row r="1111" spans="4:4" s="69" customFormat="1" x14ac:dyDescent="0.25">
      <c r="D1111" s="70" t="str">
        <f t="shared" si="17"/>
        <v/>
      </c>
    </row>
    <row r="1112" spans="4:4" s="69" customFormat="1" x14ac:dyDescent="0.25">
      <c r="D1112" s="70" t="str">
        <f t="shared" si="17"/>
        <v/>
      </c>
    </row>
    <row r="1113" spans="4:4" s="69" customFormat="1" x14ac:dyDescent="0.25">
      <c r="D1113" s="70" t="str">
        <f t="shared" si="17"/>
        <v/>
      </c>
    </row>
    <row r="1114" spans="4:4" s="69" customFormat="1" x14ac:dyDescent="0.25">
      <c r="D1114" s="70" t="str">
        <f t="shared" si="17"/>
        <v/>
      </c>
    </row>
    <row r="1115" spans="4:4" s="69" customFormat="1" x14ac:dyDescent="0.25">
      <c r="D1115" s="70" t="str">
        <f t="shared" si="17"/>
        <v/>
      </c>
    </row>
    <row r="1116" spans="4:4" s="69" customFormat="1" x14ac:dyDescent="0.25">
      <c r="D1116" s="70" t="str">
        <f t="shared" si="17"/>
        <v/>
      </c>
    </row>
    <row r="1117" spans="4:4" s="69" customFormat="1" x14ac:dyDescent="0.25">
      <c r="D1117" s="70" t="str">
        <f t="shared" si="17"/>
        <v/>
      </c>
    </row>
    <row r="1118" spans="4:4" s="69" customFormat="1" x14ac:dyDescent="0.25">
      <c r="D1118" s="70" t="str">
        <f t="shared" si="17"/>
        <v/>
      </c>
    </row>
    <row r="1119" spans="4:4" s="69" customFormat="1" x14ac:dyDescent="0.25">
      <c r="D1119" s="70" t="str">
        <f t="shared" si="17"/>
        <v/>
      </c>
    </row>
    <row r="1120" spans="4:4" s="69" customFormat="1" x14ac:dyDescent="0.25">
      <c r="D1120" s="70" t="str">
        <f t="shared" si="17"/>
        <v/>
      </c>
    </row>
    <row r="1121" spans="4:4" s="69" customFormat="1" x14ac:dyDescent="0.25">
      <c r="D1121" s="70" t="str">
        <f t="shared" si="17"/>
        <v/>
      </c>
    </row>
    <row r="1122" spans="4:4" s="69" customFormat="1" x14ac:dyDescent="0.25">
      <c r="D1122" s="70" t="str">
        <f t="shared" si="17"/>
        <v/>
      </c>
    </row>
    <row r="1123" spans="4:4" s="69" customFormat="1" x14ac:dyDescent="0.25">
      <c r="D1123" s="70" t="str">
        <f t="shared" si="17"/>
        <v/>
      </c>
    </row>
    <row r="1124" spans="4:4" s="69" customFormat="1" x14ac:dyDescent="0.25">
      <c r="D1124" s="70" t="str">
        <f t="shared" si="17"/>
        <v/>
      </c>
    </row>
    <row r="1125" spans="4:4" s="69" customFormat="1" x14ac:dyDescent="0.25">
      <c r="D1125" s="70" t="str">
        <f t="shared" si="17"/>
        <v/>
      </c>
    </row>
    <row r="1126" spans="4:4" s="69" customFormat="1" x14ac:dyDescent="0.25">
      <c r="D1126" s="70" t="str">
        <f t="shared" si="17"/>
        <v/>
      </c>
    </row>
    <row r="1127" spans="4:4" s="69" customFormat="1" x14ac:dyDescent="0.25">
      <c r="D1127" s="70" t="str">
        <f t="shared" si="17"/>
        <v/>
      </c>
    </row>
    <row r="1128" spans="4:4" s="69" customFormat="1" x14ac:dyDescent="0.25">
      <c r="D1128" s="70" t="str">
        <f t="shared" si="17"/>
        <v/>
      </c>
    </row>
    <row r="1129" spans="4:4" s="69" customFormat="1" x14ac:dyDescent="0.25">
      <c r="D1129" s="70" t="str">
        <f t="shared" si="17"/>
        <v/>
      </c>
    </row>
    <row r="1130" spans="4:4" s="69" customFormat="1" x14ac:dyDescent="0.25">
      <c r="D1130" s="70" t="str">
        <f t="shared" si="17"/>
        <v/>
      </c>
    </row>
    <row r="1131" spans="4:4" s="69" customFormat="1" x14ac:dyDescent="0.25">
      <c r="D1131" s="70" t="str">
        <f t="shared" si="17"/>
        <v/>
      </c>
    </row>
    <row r="1132" spans="4:4" s="69" customFormat="1" x14ac:dyDescent="0.25">
      <c r="D1132" s="70" t="str">
        <f t="shared" si="17"/>
        <v/>
      </c>
    </row>
    <row r="1133" spans="4:4" s="69" customFormat="1" x14ac:dyDescent="0.25">
      <c r="D1133" s="70" t="str">
        <f t="shared" si="17"/>
        <v/>
      </c>
    </row>
    <row r="1134" spans="4:4" s="69" customFormat="1" x14ac:dyDescent="0.25">
      <c r="D1134" s="70" t="str">
        <f t="shared" si="17"/>
        <v/>
      </c>
    </row>
    <row r="1135" spans="4:4" s="69" customFormat="1" x14ac:dyDescent="0.25">
      <c r="D1135" s="70" t="str">
        <f t="shared" si="17"/>
        <v/>
      </c>
    </row>
    <row r="1136" spans="4:4" s="69" customFormat="1" x14ac:dyDescent="0.25">
      <c r="D1136" s="70" t="str">
        <f t="shared" si="17"/>
        <v/>
      </c>
    </row>
    <row r="1137" spans="4:4" s="69" customFormat="1" x14ac:dyDescent="0.25">
      <c r="D1137" s="70" t="str">
        <f t="shared" si="17"/>
        <v/>
      </c>
    </row>
    <row r="1138" spans="4:4" s="69" customFormat="1" x14ac:dyDescent="0.25">
      <c r="D1138" s="70" t="str">
        <f t="shared" si="17"/>
        <v/>
      </c>
    </row>
    <row r="1139" spans="4:4" s="69" customFormat="1" x14ac:dyDescent="0.25">
      <c r="D1139" s="70" t="str">
        <f t="shared" si="17"/>
        <v/>
      </c>
    </row>
    <row r="1140" spans="4:4" s="69" customFormat="1" x14ac:dyDescent="0.25">
      <c r="D1140" s="70" t="str">
        <f t="shared" si="17"/>
        <v/>
      </c>
    </row>
    <row r="1141" spans="4:4" s="69" customFormat="1" x14ac:dyDescent="0.25">
      <c r="D1141" s="70" t="str">
        <f t="shared" si="17"/>
        <v/>
      </c>
    </row>
    <row r="1142" spans="4:4" s="69" customFormat="1" x14ac:dyDescent="0.25">
      <c r="D1142" s="70" t="str">
        <f t="shared" si="17"/>
        <v/>
      </c>
    </row>
    <row r="1143" spans="4:4" s="69" customFormat="1" x14ac:dyDescent="0.25">
      <c r="D1143" s="70" t="str">
        <f t="shared" si="17"/>
        <v/>
      </c>
    </row>
    <row r="1144" spans="4:4" s="69" customFormat="1" x14ac:dyDescent="0.25">
      <c r="D1144" s="70" t="str">
        <f t="shared" si="17"/>
        <v/>
      </c>
    </row>
    <row r="1145" spans="4:4" s="69" customFormat="1" x14ac:dyDescent="0.25">
      <c r="D1145" s="70" t="str">
        <f t="shared" si="17"/>
        <v/>
      </c>
    </row>
    <row r="1146" spans="4:4" s="69" customFormat="1" x14ac:dyDescent="0.25">
      <c r="D1146" s="70" t="str">
        <f t="shared" si="17"/>
        <v/>
      </c>
    </row>
    <row r="1147" spans="4:4" s="69" customFormat="1" x14ac:dyDescent="0.25">
      <c r="D1147" s="70" t="str">
        <f t="shared" si="17"/>
        <v/>
      </c>
    </row>
    <row r="1148" spans="4:4" s="69" customFormat="1" x14ac:dyDescent="0.25">
      <c r="D1148" s="70" t="str">
        <f t="shared" si="17"/>
        <v/>
      </c>
    </row>
    <row r="1149" spans="4:4" s="69" customFormat="1" x14ac:dyDescent="0.25">
      <c r="D1149" s="70" t="str">
        <f t="shared" si="17"/>
        <v/>
      </c>
    </row>
    <row r="1150" spans="4:4" s="69" customFormat="1" x14ac:dyDescent="0.25">
      <c r="D1150" s="70" t="str">
        <f t="shared" si="17"/>
        <v/>
      </c>
    </row>
    <row r="1151" spans="4:4" s="69" customFormat="1" x14ac:dyDescent="0.25">
      <c r="D1151" s="70" t="str">
        <f t="shared" si="17"/>
        <v/>
      </c>
    </row>
    <row r="1152" spans="4:4" s="69" customFormat="1" x14ac:dyDescent="0.25">
      <c r="D1152" s="70" t="str">
        <f t="shared" si="17"/>
        <v/>
      </c>
    </row>
    <row r="1153" spans="4:4" s="69" customFormat="1" x14ac:dyDescent="0.25">
      <c r="D1153" s="70" t="str">
        <f t="shared" si="17"/>
        <v/>
      </c>
    </row>
    <row r="1154" spans="4:4" s="69" customFormat="1" x14ac:dyDescent="0.25">
      <c r="D1154" s="70" t="str">
        <f t="shared" si="17"/>
        <v/>
      </c>
    </row>
    <row r="1155" spans="4:4" s="69" customFormat="1" x14ac:dyDescent="0.25">
      <c r="D1155" s="70" t="str">
        <f t="shared" si="17"/>
        <v/>
      </c>
    </row>
    <row r="1156" spans="4:4" s="69" customFormat="1" x14ac:dyDescent="0.25">
      <c r="D1156" s="70" t="str">
        <f t="shared" si="17"/>
        <v/>
      </c>
    </row>
    <row r="1157" spans="4:4" s="69" customFormat="1" x14ac:dyDescent="0.25">
      <c r="D1157" s="70" t="str">
        <f t="shared" si="17"/>
        <v/>
      </c>
    </row>
    <row r="1158" spans="4:4" s="69" customFormat="1" x14ac:dyDescent="0.25">
      <c r="D1158" s="70" t="str">
        <f t="shared" si="17"/>
        <v/>
      </c>
    </row>
    <row r="1159" spans="4:4" s="69" customFormat="1" x14ac:dyDescent="0.25">
      <c r="D1159" s="70" t="str">
        <f t="shared" ref="D1159:D1222" si="18">IF(B1159&lt;&gt;"","&lt;file&gt;src\"&amp;B1159&amp;".xml&lt;/file&gt;","")</f>
        <v/>
      </c>
    </row>
    <row r="1160" spans="4:4" s="69" customFormat="1" x14ac:dyDescent="0.25">
      <c r="D1160" s="70" t="str">
        <f t="shared" si="18"/>
        <v/>
      </c>
    </row>
    <row r="1161" spans="4:4" s="69" customFormat="1" x14ac:dyDescent="0.25">
      <c r="D1161" s="70" t="str">
        <f t="shared" si="18"/>
        <v/>
      </c>
    </row>
    <row r="1162" spans="4:4" s="69" customFormat="1" x14ac:dyDescent="0.25">
      <c r="D1162" s="70" t="str">
        <f t="shared" si="18"/>
        <v/>
      </c>
    </row>
    <row r="1163" spans="4:4" s="69" customFormat="1" x14ac:dyDescent="0.25">
      <c r="D1163" s="70" t="str">
        <f t="shared" si="18"/>
        <v/>
      </c>
    </row>
    <row r="1164" spans="4:4" s="69" customFormat="1" x14ac:dyDescent="0.25">
      <c r="D1164" s="70" t="str">
        <f t="shared" si="18"/>
        <v/>
      </c>
    </row>
    <row r="1165" spans="4:4" s="69" customFormat="1" x14ac:dyDescent="0.25">
      <c r="D1165" s="70" t="str">
        <f t="shared" si="18"/>
        <v/>
      </c>
    </row>
    <row r="1166" spans="4:4" s="69" customFormat="1" x14ac:dyDescent="0.25">
      <c r="D1166" s="70" t="str">
        <f t="shared" si="18"/>
        <v/>
      </c>
    </row>
    <row r="1167" spans="4:4" s="69" customFormat="1" x14ac:dyDescent="0.25">
      <c r="D1167" s="70" t="str">
        <f t="shared" si="18"/>
        <v/>
      </c>
    </row>
    <row r="1168" spans="4:4" s="69" customFormat="1" x14ac:dyDescent="0.25">
      <c r="D1168" s="70" t="str">
        <f t="shared" si="18"/>
        <v/>
      </c>
    </row>
    <row r="1169" spans="4:4" s="69" customFormat="1" x14ac:dyDescent="0.25">
      <c r="D1169" s="70" t="str">
        <f t="shared" si="18"/>
        <v/>
      </c>
    </row>
    <row r="1170" spans="4:4" s="69" customFormat="1" x14ac:dyDescent="0.25">
      <c r="D1170" s="70" t="str">
        <f t="shared" si="18"/>
        <v/>
      </c>
    </row>
    <row r="1171" spans="4:4" s="69" customFormat="1" x14ac:dyDescent="0.25">
      <c r="D1171" s="70" t="str">
        <f t="shared" si="18"/>
        <v/>
      </c>
    </row>
    <row r="1172" spans="4:4" s="69" customFormat="1" x14ac:dyDescent="0.25">
      <c r="D1172" s="70" t="str">
        <f t="shared" si="18"/>
        <v/>
      </c>
    </row>
    <row r="1173" spans="4:4" s="69" customFormat="1" x14ac:dyDescent="0.25">
      <c r="D1173" s="70" t="str">
        <f t="shared" si="18"/>
        <v/>
      </c>
    </row>
    <row r="1174" spans="4:4" s="69" customFormat="1" x14ac:dyDescent="0.25">
      <c r="D1174" s="70" t="str">
        <f t="shared" si="18"/>
        <v/>
      </c>
    </row>
    <row r="1175" spans="4:4" s="69" customFormat="1" x14ac:dyDescent="0.25">
      <c r="D1175" s="70" t="str">
        <f t="shared" si="18"/>
        <v/>
      </c>
    </row>
    <row r="1176" spans="4:4" s="69" customFormat="1" x14ac:dyDescent="0.25">
      <c r="D1176" s="70" t="str">
        <f t="shared" si="18"/>
        <v/>
      </c>
    </row>
    <row r="1177" spans="4:4" s="69" customFormat="1" x14ac:dyDescent="0.25">
      <c r="D1177" s="70" t="str">
        <f t="shared" si="18"/>
        <v/>
      </c>
    </row>
    <row r="1178" spans="4:4" s="69" customFormat="1" x14ac:dyDescent="0.25">
      <c r="D1178" s="70" t="str">
        <f t="shared" si="18"/>
        <v/>
      </c>
    </row>
    <row r="1179" spans="4:4" s="69" customFormat="1" x14ac:dyDescent="0.25">
      <c r="D1179" s="70" t="str">
        <f t="shared" si="18"/>
        <v/>
      </c>
    </row>
    <row r="1180" spans="4:4" s="69" customFormat="1" x14ac:dyDescent="0.25">
      <c r="D1180" s="70" t="str">
        <f t="shared" si="18"/>
        <v/>
      </c>
    </row>
    <row r="1181" spans="4:4" s="69" customFormat="1" x14ac:dyDescent="0.25">
      <c r="D1181" s="70" t="str">
        <f t="shared" si="18"/>
        <v/>
      </c>
    </row>
    <row r="1182" spans="4:4" s="69" customFormat="1" x14ac:dyDescent="0.25">
      <c r="D1182" s="70" t="str">
        <f t="shared" si="18"/>
        <v/>
      </c>
    </row>
    <row r="1183" spans="4:4" s="69" customFormat="1" x14ac:dyDescent="0.25">
      <c r="D1183" s="70" t="str">
        <f t="shared" si="18"/>
        <v/>
      </c>
    </row>
    <row r="1184" spans="4:4" s="69" customFormat="1" x14ac:dyDescent="0.25">
      <c r="D1184" s="70" t="str">
        <f t="shared" si="18"/>
        <v/>
      </c>
    </row>
    <row r="1185" spans="4:4" s="69" customFormat="1" x14ac:dyDescent="0.25">
      <c r="D1185" s="70" t="str">
        <f t="shared" si="18"/>
        <v/>
      </c>
    </row>
    <row r="1186" spans="4:4" s="69" customFormat="1" x14ac:dyDescent="0.25">
      <c r="D1186" s="70" t="str">
        <f t="shared" si="18"/>
        <v/>
      </c>
    </row>
    <row r="1187" spans="4:4" s="69" customFormat="1" x14ac:dyDescent="0.25">
      <c r="D1187" s="70" t="str">
        <f t="shared" si="18"/>
        <v/>
      </c>
    </row>
    <row r="1188" spans="4:4" s="69" customFormat="1" x14ac:dyDescent="0.25">
      <c r="D1188" s="70" t="str">
        <f t="shared" si="18"/>
        <v/>
      </c>
    </row>
    <row r="1189" spans="4:4" s="69" customFormat="1" x14ac:dyDescent="0.25">
      <c r="D1189" s="70" t="str">
        <f t="shared" si="18"/>
        <v/>
      </c>
    </row>
    <row r="1190" spans="4:4" s="69" customFormat="1" x14ac:dyDescent="0.25">
      <c r="D1190" s="70" t="str">
        <f t="shared" si="18"/>
        <v/>
      </c>
    </row>
    <row r="1191" spans="4:4" s="69" customFormat="1" x14ac:dyDescent="0.25">
      <c r="D1191" s="70" t="str">
        <f t="shared" si="18"/>
        <v/>
      </c>
    </row>
    <row r="1192" spans="4:4" s="69" customFormat="1" x14ac:dyDescent="0.25">
      <c r="D1192" s="70" t="str">
        <f t="shared" si="18"/>
        <v/>
      </c>
    </row>
    <row r="1193" spans="4:4" s="69" customFormat="1" x14ac:dyDescent="0.25">
      <c r="D1193" s="70" t="str">
        <f t="shared" si="18"/>
        <v/>
      </c>
    </row>
    <row r="1194" spans="4:4" s="69" customFormat="1" x14ac:dyDescent="0.25">
      <c r="D1194" s="70" t="str">
        <f t="shared" si="18"/>
        <v/>
      </c>
    </row>
    <row r="1195" spans="4:4" s="69" customFormat="1" x14ac:dyDescent="0.25">
      <c r="D1195" s="70" t="str">
        <f t="shared" si="18"/>
        <v/>
      </c>
    </row>
    <row r="1196" spans="4:4" s="69" customFormat="1" x14ac:dyDescent="0.25">
      <c r="D1196" s="70" t="str">
        <f t="shared" si="18"/>
        <v/>
      </c>
    </row>
    <row r="1197" spans="4:4" s="69" customFormat="1" x14ac:dyDescent="0.25">
      <c r="D1197" s="70" t="str">
        <f t="shared" si="18"/>
        <v/>
      </c>
    </row>
    <row r="1198" spans="4:4" s="69" customFormat="1" x14ac:dyDescent="0.25">
      <c r="D1198" s="70" t="str">
        <f t="shared" si="18"/>
        <v/>
      </c>
    </row>
    <row r="1199" spans="4:4" s="69" customFormat="1" x14ac:dyDescent="0.25">
      <c r="D1199" s="70" t="str">
        <f t="shared" si="18"/>
        <v/>
      </c>
    </row>
    <row r="1200" spans="4:4" s="69" customFormat="1" x14ac:dyDescent="0.25">
      <c r="D1200" s="70" t="str">
        <f t="shared" si="18"/>
        <v/>
      </c>
    </row>
    <row r="1201" spans="4:4" s="69" customFormat="1" x14ac:dyDescent="0.25">
      <c r="D1201" s="70" t="str">
        <f t="shared" si="18"/>
        <v/>
      </c>
    </row>
    <row r="1202" spans="4:4" s="69" customFormat="1" x14ac:dyDescent="0.25">
      <c r="D1202" s="70" t="str">
        <f t="shared" si="18"/>
        <v/>
      </c>
    </row>
    <row r="1203" spans="4:4" s="69" customFormat="1" x14ac:dyDescent="0.25">
      <c r="D1203" s="70" t="str">
        <f t="shared" si="18"/>
        <v/>
      </c>
    </row>
    <row r="1204" spans="4:4" s="69" customFormat="1" x14ac:dyDescent="0.25">
      <c r="D1204" s="70" t="str">
        <f t="shared" si="18"/>
        <v/>
      </c>
    </row>
    <row r="1205" spans="4:4" s="69" customFormat="1" x14ac:dyDescent="0.25">
      <c r="D1205" s="70" t="str">
        <f t="shared" si="18"/>
        <v/>
      </c>
    </row>
    <row r="1206" spans="4:4" s="69" customFormat="1" x14ac:dyDescent="0.25">
      <c r="D1206" s="70" t="str">
        <f t="shared" si="18"/>
        <v/>
      </c>
    </row>
    <row r="1207" spans="4:4" s="69" customFormat="1" x14ac:dyDescent="0.25">
      <c r="D1207" s="70" t="str">
        <f t="shared" si="18"/>
        <v/>
      </c>
    </row>
    <row r="1208" spans="4:4" s="69" customFormat="1" x14ac:dyDescent="0.25">
      <c r="D1208" s="70" t="str">
        <f t="shared" si="18"/>
        <v/>
      </c>
    </row>
    <row r="1209" spans="4:4" s="69" customFormat="1" x14ac:dyDescent="0.25">
      <c r="D1209" s="70" t="str">
        <f t="shared" si="18"/>
        <v/>
      </c>
    </row>
    <row r="1210" spans="4:4" s="69" customFormat="1" x14ac:dyDescent="0.25">
      <c r="D1210" s="70" t="str">
        <f t="shared" si="18"/>
        <v/>
      </c>
    </row>
    <row r="1211" spans="4:4" s="69" customFormat="1" x14ac:dyDescent="0.25">
      <c r="D1211" s="70" t="str">
        <f t="shared" si="18"/>
        <v/>
      </c>
    </row>
    <row r="1212" spans="4:4" s="69" customFormat="1" x14ac:dyDescent="0.25">
      <c r="D1212" s="70" t="str">
        <f t="shared" si="18"/>
        <v/>
      </c>
    </row>
    <row r="1213" spans="4:4" s="69" customFormat="1" x14ac:dyDescent="0.25">
      <c r="D1213" s="70" t="str">
        <f t="shared" si="18"/>
        <v/>
      </c>
    </row>
    <row r="1214" spans="4:4" s="69" customFormat="1" x14ac:dyDescent="0.25">
      <c r="D1214" s="70" t="str">
        <f t="shared" si="18"/>
        <v/>
      </c>
    </row>
    <row r="1215" spans="4:4" s="69" customFormat="1" x14ac:dyDescent="0.25">
      <c r="D1215" s="70" t="str">
        <f t="shared" si="18"/>
        <v/>
      </c>
    </row>
    <row r="1216" spans="4:4" s="69" customFormat="1" x14ac:dyDescent="0.25">
      <c r="D1216" s="70" t="str">
        <f t="shared" si="18"/>
        <v/>
      </c>
    </row>
    <row r="1217" spans="4:4" s="69" customFormat="1" x14ac:dyDescent="0.25">
      <c r="D1217" s="70" t="str">
        <f t="shared" si="18"/>
        <v/>
      </c>
    </row>
    <row r="1218" spans="4:4" s="69" customFormat="1" x14ac:dyDescent="0.25">
      <c r="D1218" s="70" t="str">
        <f t="shared" si="18"/>
        <v/>
      </c>
    </row>
    <row r="1219" spans="4:4" s="69" customFormat="1" x14ac:dyDescent="0.25">
      <c r="D1219" s="70" t="str">
        <f t="shared" si="18"/>
        <v/>
      </c>
    </row>
    <row r="1220" spans="4:4" s="69" customFormat="1" x14ac:dyDescent="0.25">
      <c r="D1220" s="70" t="str">
        <f t="shared" si="18"/>
        <v/>
      </c>
    </row>
    <row r="1221" spans="4:4" s="69" customFormat="1" x14ac:dyDescent="0.25">
      <c r="D1221" s="70" t="str">
        <f t="shared" si="18"/>
        <v/>
      </c>
    </row>
    <row r="1222" spans="4:4" s="69" customFormat="1" x14ac:dyDescent="0.25">
      <c r="D1222" s="70" t="str">
        <f t="shared" si="18"/>
        <v/>
      </c>
    </row>
    <row r="1223" spans="4:4" s="69" customFormat="1" x14ac:dyDescent="0.25">
      <c r="D1223" s="70" t="str">
        <f t="shared" ref="D1223:D1286" si="19">IF(B1223&lt;&gt;"","&lt;file&gt;src\"&amp;B1223&amp;".xml&lt;/file&gt;","")</f>
        <v/>
      </c>
    </row>
    <row r="1224" spans="4:4" s="69" customFormat="1" x14ac:dyDescent="0.25">
      <c r="D1224" s="70" t="str">
        <f t="shared" si="19"/>
        <v/>
      </c>
    </row>
    <row r="1225" spans="4:4" s="69" customFormat="1" x14ac:dyDescent="0.25">
      <c r="D1225" s="70" t="str">
        <f t="shared" si="19"/>
        <v/>
      </c>
    </row>
    <row r="1226" spans="4:4" s="69" customFormat="1" x14ac:dyDescent="0.25">
      <c r="D1226" s="70" t="str">
        <f t="shared" si="19"/>
        <v/>
      </c>
    </row>
    <row r="1227" spans="4:4" s="69" customFormat="1" x14ac:dyDescent="0.25">
      <c r="D1227" s="70" t="str">
        <f t="shared" si="19"/>
        <v/>
      </c>
    </row>
    <row r="1228" spans="4:4" s="69" customFormat="1" x14ac:dyDescent="0.25">
      <c r="D1228" s="70" t="str">
        <f t="shared" si="19"/>
        <v/>
      </c>
    </row>
    <row r="1229" spans="4:4" s="69" customFormat="1" x14ac:dyDescent="0.25">
      <c r="D1229" s="70" t="str">
        <f t="shared" si="19"/>
        <v/>
      </c>
    </row>
    <row r="1230" spans="4:4" s="69" customFormat="1" x14ac:dyDescent="0.25">
      <c r="D1230" s="70" t="str">
        <f t="shared" si="19"/>
        <v/>
      </c>
    </row>
    <row r="1231" spans="4:4" s="69" customFormat="1" x14ac:dyDescent="0.25">
      <c r="D1231" s="70" t="str">
        <f t="shared" si="19"/>
        <v/>
      </c>
    </row>
    <row r="1232" spans="4:4" s="69" customFormat="1" x14ac:dyDescent="0.25">
      <c r="D1232" s="70" t="str">
        <f t="shared" si="19"/>
        <v/>
      </c>
    </row>
    <row r="1233" spans="4:4" s="69" customFormat="1" x14ac:dyDescent="0.25">
      <c r="D1233" s="70" t="str">
        <f t="shared" si="19"/>
        <v/>
      </c>
    </row>
    <row r="1234" spans="4:4" s="69" customFormat="1" x14ac:dyDescent="0.25">
      <c r="D1234" s="70" t="str">
        <f t="shared" si="19"/>
        <v/>
      </c>
    </row>
    <row r="1235" spans="4:4" s="69" customFormat="1" x14ac:dyDescent="0.25">
      <c r="D1235" s="70" t="str">
        <f t="shared" si="19"/>
        <v/>
      </c>
    </row>
    <row r="1236" spans="4:4" s="69" customFormat="1" x14ac:dyDescent="0.25">
      <c r="D1236" s="70" t="str">
        <f t="shared" si="19"/>
        <v/>
      </c>
    </row>
    <row r="1237" spans="4:4" s="69" customFormat="1" x14ac:dyDescent="0.25">
      <c r="D1237" s="70" t="str">
        <f t="shared" si="19"/>
        <v/>
      </c>
    </row>
    <row r="1238" spans="4:4" s="69" customFormat="1" x14ac:dyDescent="0.25">
      <c r="D1238" s="70" t="str">
        <f t="shared" si="19"/>
        <v/>
      </c>
    </row>
    <row r="1239" spans="4:4" s="69" customFormat="1" x14ac:dyDescent="0.25">
      <c r="D1239" s="70" t="str">
        <f t="shared" si="19"/>
        <v/>
      </c>
    </row>
    <row r="1240" spans="4:4" s="69" customFormat="1" x14ac:dyDescent="0.25">
      <c r="D1240" s="70" t="str">
        <f t="shared" si="19"/>
        <v/>
      </c>
    </row>
    <row r="1241" spans="4:4" s="69" customFormat="1" x14ac:dyDescent="0.25">
      <c r="D1241" s="70" t="str">
        <f t="shared" si="19"/>
        <v/>
      </c>
    </row>
    <row r="1242" spans="4:4" s="69" customFormat="1" x14ac:dyDescent="0.25">
      <c r="D1242" s="70" t="str">
        <f t="shared" si="19"/>
        <v/>
      </c>
    </row>
    <row r="1243" spans="4:4" s="69" customFormat="1" x14ac:dyDescent="0.25">
      <c r="D1243" s="70" t="str">
        <f t="shared" si="19"/>
        <v/>
      </c>
    </row>
    <row r="1244" spans="4:4" s="69" customFormat="1" x14ac:dyDescent="0.25">
      <c r="D1244" s="70" t="str">
        <f t="shared" si="19"/>
        <v/>
      </c>
    </row>
    <row r="1245" spans="4:4" s="69" customFormat="1" x14ac:dyDescent="0.25">
      <c r="D1245" s="70" t="str">
        <f t="shared" si="19"/>
        <v/>
      </c>
    </row>
    <row r="1246" spans="4:4" s="69" customFormat="1" x14ac:dyDescent="0.25">
      <c r="D1246" s="70" t="str">
        <f t="shared" si="19"/>
        <v/>
      </c>
    </row>
    <row r="1247" spans="4:4" s="69" customFormat="1" x14ac:dyDescent="0.25">
      <c r="D1247" s="70" t="str">
        <f t="shared" si="19"/>
        <v/>
      </c>
    </row>
    <row r="1248" spans="4:4" s="69" customFormat="1" x14ac:dyDescent="0.25">
      <c r="D1248" s="70" t="str">
        <f t="shared" si="19"/>
        <v/>
      </c>
    </row>
    <row r="1249" spans="4:4" s="69" customFormat="1" x14ac:dyDescent="0.25">
      <c r="D1249" s="70" t="str">
        <f t="shared" si="19"/>
        <v/>
      </c>
    </row>
    <row r="1250" spans="4:4" s="69" customFormat="1" x14ac:dyDescent="0.25">
      <c r="D1250" s="70" t="str">
        <f t="shared" si="19"/>
        <v/>
      </c>
    </row>
    <row r="1251" spans="4:4" s="69" customFormat="1" x14ac:dyDescent="0.25">
      <c r="D1251" s="70" t="str">
        <f t="shared" si="19"/>
        <v/>
      </c>
    </row>
    <row r="1252" spans="4:4" s="69" customFormat="1" x14ac:dyDescent="0.25">
      <c r="D1252" s="70" t="str">
        <f t="shared" si="19"/>
        <v/>
      </c>
    </row>
    <row r="1253" spans="4:4" s="69" customFormat="1" x14ac:dyDescent="0.25">
      <c r="D1253" s="70" t="str">
        <f t="shared" si="19"/>
        <v/>
      </c>
    </row>
    <row r="1254" spans="4:4" s="69" customFormat="1" x14ac:dyDescent="0.25">
      <c r="D1254" s="70" t="str">
        <f t="shared" si="19"/>
        <v/>
      </c>
    </row>
    <row r="1255" spans="4:4" s="69" customFormat="1" x14ac:dyDescent="0.25">
      <c r="D1255" s="70" t="str">
        <f t="shared" si="19"/>
        <v/>
      </c>
    </row>
    <row r="1256" spans="4:4" s="69" customFormat="1" x14ac:dyDescent="0.25">
      <c r="D1256" s="70" t="str">
        <f t="shared" si="19"/>
        <v/>
      </c>
    </row>
    <row r="1257" spans="4:4" s="69" customFormat="1" x14ac:dyDescent="0.25">
      <c r="D1257" s="70" t="str">
        <f t="shared" si="19"/>
        <v/>
      </c>
    </row>
    <row r="1258" spans="4:4" s="69" customFormat="1" x14ac:dyDescent="0.25">
      <c r="D1258" s="70" t="str">
        <f t="shared" si="19"/>
        <v/>
      </c>
    </row>
    <row r="1259" spans="4:4" s="69" customFormat="1" x14ac:dyDescent="0.25">
      <c r="D1259" s="70" t="str">
        <f t="shared" si="19"/>
        <v/>
      </c>
    </row>
    <row r="1260" spans="4:4" s="69" customFormat="1" x14ac:dyDescent="0.25">
      <c r="D1260" s="70" t="str">
        <f t="shared" si="19"/>
        <v/>
      </c>
    </row>
    <row r="1261" spans="4:4" s="69" customFormat="1" x14ac:dyDescent="0.25">
      <c r="D1261" s="70" t="str">
        <f t="shared" si="19"/>
        <v/>
      </c>
    </row>
    <row r="1262" spans="4:4" s="69" customFormat="1" x14ac:dyDescent="0.25">
      <c r="D1262" s="70" t="str">
        <f t="shared" si="19"/>
        <v/>
      </c>
    </row>
    <row r="1263" spans="4:4" s="69" customFormat="1" x14ac:dyDescent="0.25">
      <c r="D1263" s="70" t="str">
        <f t="shared" si="19"/>
        <v/>
      </c>
    </row>
    <row r="1264" spans="4:4" s="69" customFormat="1" x14ac:dyDescent="0.25">
      <c r="D1264" s="70" t="str">
        <f t="shared" si="19"/>
        <v/>
      </c>
    </row>
    <row r="1265" spans="4:4" s="69" customFormat="1" x14ac:dyDescent="0.25">
      <c r="D1265" s="70" t="str">
        <f t="shared" si="19"/>
        <v/>
      </c>
    </row>
    <row r="1266" spans="4:4" s="69" customFormat="1" x14ac:dyDescent="0.25">
      <c r="D1266" s="70" t="str">
        <f t="shared" si="19"/>
        <v/>
      </c>
    </row>
    <row r="1267" spans="4:4" s="69" customFormat="1" x14ac:dyDescent="0.25">
      <c r="D1267" s="70" t="str">
        <f t="shared" si="19"/>
        <v/>
      </c>
    </row>
    <row r="1268" spans="4:4" s="69" customFormat="1" x14ac:dyDescent="0.25">
      <c r="D1268" s="70" t="str">
        <f t="shared" si="19"/>
        <v/>
      </c>
    </row>
    <row r="1269" spans="4:4" s="69" customFormat="1" x14ac:dyDescent="0.25">
      <c r="D1269" s="70" t="str">
        <f t="shared" si="19"/>
        <v/>
      </c>
    </row>
    <row r="1270" spans="4:4" s="69" customFormat="1" x14ac:dyDescent="0.25">
      <c r="D1270" s="70" t="str">
        <f t="shared" si="19"/>
        <v/>
      </c>
    </row>
    <row r="1271" spans="4:4" s="69" customFormat="1" x14ac:dyDescent="0.25">
      <c r="D1271" s="70" t="str">
        <f t="shared" si="19"/>
        <v/>
      </c>
    </row>
    <row r="1272" spans="4:4" s="69" customFormat="1" x14ac:dyDescent="0.25">
      <c r="D1272" s="70" t="str">
        <f t="shared" si="19"/>
        <v/>
      </c>
    </row>
    <row r="1273" spans="4:4" s="69" customFormat="1" x14ac:dyDescent="0.25">
      <c r="D1273" s="70" t="str">
        <f t="shared" si="19"/>
        <v/>
      </c>
    </row>
    <row r="1274" spans="4:4" s="69" customFormat="1" x14ac:dyDescent="0.25">
      <c r="D1274" s="70" t="str">
        <f t="shared" si="19"/>
        <v/>
      </c>
    </row>
    <row r="1275" spans="4:4" s="69" customFormat="1" x14ac:dyDescent="0.25">
      <c r="D1275" s="70" t="str">
        <f t="shared" si="19"/>
        <v/>
      </c>
    </row>
    <row r="1276" spans="4:4" s="69" customFormat="1" x14ac:dyDescent="0.25">
      <c r="D1276" s="70" t="str">
        <f t="shared" si="19"/>
        <v/>
      </c>
    </row>
    <row r="1277" spans="4:4" s="69" customFormat="1" x14ac:dyDescent="0.25">
      <c r="D1277" s="70" t="str">
        <f t="shared" si="19"/>
        <v/>
      </c>
    </row>
    <row r="1278" spans="4:4" s="69" customFormat="1" x14ac:dyDescent="0.25">
      <c r="D1278" s="70" t="str">
        <f t="shared" si="19"/>
        <v/>
      </c>
    </row>
    <row r="1279" spans="4:4" s="69" customFormat="1" x14ac:dyDescent="0.25">
      <c r="D1279" s="70" t="str">
        <f t="shared" si="19"/>
        <v/>
      </c>
    </row>
    <row r="1280" spans="4:4" s="69" customFormat="1" x14ac:dyDescent="0.25">
      <c r="D1280" s="70" t="str">
        <f t="shared" si="19"/>
        <v/>
      </c>
    </row>
    <row r="1281" spans="4:4" s="69" customFormat="1" x14ac:dyDescent="0.25">
      <c r="D1281" s="70" t="str">
        <f t="shared" si="19"/>
        <v/>
      </c>
    </row>
    <row r="1282" spans="4:4" s="69" customFormat="1" x14ac:dyDescent="0.25">
      <c r="D1282" s="70" t="str">
        <f t="shared" si="19"/>
        <v/>
      </c>
    </row>
    <row r="1283" spans="4:4" s="69" customFormat="1" x14ac:dyDescent="0.25">
      <c r="D1283" s="70" t="str">
        <f t="shared" si="19"/>
        <v/>
      </c>
    </row>
    <row r="1284" spans="4:4" s="69" customFormat="1" x14ac:dyDescent="0.25">
      <c r="D1284" s="70" t="str">
        <f t="shared" si="19"/>
        <v/>
      </c>
    </row>
    <row r="1285" spans="4:4" s="69" customFormat="1" x14ac:dyDescent="0.25">
      <c r="D1285" s="70" t="str">
        <f t="shared" si="19"/>
        <v/>
      </c>
    </row>
    <row r="1286" spans="4:4" s="69" customFormat="1" x14ac:dyDescent="0.25">
      <c r="D1286" s="70" t="str">
        <f t="shared" si="19"/>
        <v/>
      </c>
    </row>
    <row r="1287" spans="4:4" s="69" customFormat="1" x14ac:dyDescent="0.25">
      <c r="D1287" s="70" t="str">
        <f t="shared" ref="D1287:D1350" si="20">IF(B1287&lt;&gt;"","&lt;file&gt;src\"&amp;B1287&amp;".xml&lt;/file&gt;","")</f>
        <v/>
      </c>
    </row>
    <row r="1288" spans="4:4" s="69" customFormat="1" x14ac:dyDescent="0.25">
      <c r="D1288" s="70" t="str">
        <f t="shared" si="20"/>
        <v/>
      </c>
    </row>
    <row r="1289" spans="4:4" s="69" customFormat="1" x14ac:dyDescent="0.25">
      <c r="D1289" s="70" t="str">
        <f t="shared" si="20"/>
        <v/>
      </c>
    </row>
    <row r="1290" spans="4:4" s="69" customFormat="1" x14ac:dyDescent="0.25">
      <c r="D1290" s="70" t="str">
        <f t="shared" si="20"/>
        <v/>
      </c>
    </row>
    <row r="1291" spans="4:4" s="69" customFormat="1" x14ac:dyDescent="0.25">
      <c r="D1291" s="70" t="str">
        <f t="shared" si="20"/>
        <v/>
      </c>
    </row>
    <row r="1292" spans="4:4" s="69" customFormat="1" x14ac:dyDescent="0.25">
      <c r="D1292" s="70" t="str">
        <f t="shared" si="20"/>
        <v/>
      </c>
    </row>
    <row r="1293" spans="4:4" s="69" customFormat="1" x14ac:dyDescent="0.25">
      <c r="D1293" s="70" t="str">
        <f t="shared" si="20"/>
        <v/>
      </c>
    </row>
    <row r="1294" spans="4:4" s="69" customFormat="1" x14ac:dyDescent="0.25">
      <c r="D1294" s="70" t="str">
        <f t="shared" si="20"/>
        <v/>
      </c>
    </row>
    <row r="1295" spans="4:4" s="69" customFormat="1" x14ac:dyDescent="0.25">
      <c r="D1295" s="70" t="str">
        <f t="shared" si="20"/>
        <v/>
      </c>
    </row>
    <row r="1296" spans="4:4" s="69" customFormat="1" x14ac:dyDescent="0.25">
      <c r="D1296" s="70" t="str">
        <f t="shared" si="20"/>
        <v/>
      </c>
    </row>
    <row r="1297" spans="4:4" s="69" customFormat="1" x14ac:dyDescent="0.25">
      <c r="D1297" s="70" t="str">
        <f t="shared" si="20"/>
        <v/>
      </c>
    </row>
    <row r="1298" spans="4:4" s="69" customFormat="1" x14ac:dyDescent="0.25">
      <c r="D1298" s="70" t="str">
        <f t="shared" si="20"/>
        <v/>
      </c>
    </row>
    <row r="1299" spans="4:4" s="69" customFormat="1" x14ac:dyDescent="0.25">
      <c r="D1299" s="70" t="str">
        <f t="shared" si="20"/>
        <v/>
      </c>
    </row>
    <row r="1300" spans="4:4" s="69" customFormat="1" x14ac:dyDescent="0.25">
      <c r="D1300" s="70" t="str">
        <f t="shared" si="20"/>
        <v/>
      </c>
    </row>
    <row r="1301" spans="4:4" s="69" customFormat="1" x14ac:dyDescent="0.25">
      <c r="D1301" s="70" t="str">
        <f t="shared" si="20"/>
        <v/>
      </c>
    </row>
    <row r="1302" spans="4:4" s="69" customFormat="1" x14ac:dyDescent="0.25">
      <c r="D1302" s="70" t="str">
        <f t="shared" si="20"/>
        <v/>
      </c>
    </row>
    <row r="1303" spans="4:4" s="69" customFormat="1" x14ac:dyDescent="0.25">
      <c r="D1303" s="70" t="str">
        <f t="shared" si="20"/>
        <v/>
      </c>
    </row>
    <row r="1304" spans="4:4" s="69" customFormat="1" x14ac:dyDescent="0.25">
      <c r="D1304" s="70" t="str">
        <f t="shared" si="20"/>
        <v/>
      </c>
    </row>
    <row r="1305" spans="4:4" s="69" customFormat="1" x14ac:dyDescent="0.25">
      <c r="D1305" s="70" t="str">
        <f t="shared" si="20"/>
        <v/>
      </c>
    </row>
    <row r="1306" spans="4:4" s="69" customFormat="1" x14ac:dyDescent="0.25">
      <c r="D1306" s="70" t="str">
        <f t="shared" si="20"/>
        <v/>
      </c>
    </row>
    <row r="1307" spans="4:4" s="69" customFormat="1" x14ac:dyDescent="0.25">
      <c r="D1307" s="70" t="str">
        <f t="shared" si="20"/>
        <v/>
      </c>
    </row>
    <row r="1308" spans="4:4" s="69" customFormat="1" x14ac:dyDescent="0.25">
      <c r="D1308" s="70" t="str">
        <f t="shared" si="20"/>
        <v/>
      </c>
    </row>
    <row r="1309" spans="4:4" s="69" customFormat="1" x14ac:dyDescent="0.25">
      <c r="D1309" s="70" t="str">
        <f t="shared" si="20"/>
        <v/>
      </c>
    </row>
    <row r="1310" spans="4:4" s="69" customFormat="1" x14ac:dyDescent="0.25">
      <c r="D1310" s="70" t="str">
        <f t="shared" si="20"/>
        <v/>
      </c>
    </row>
    <row r="1311" spans="4:4" s="69" customFormat="1" x14ac:dyDescent="0.25">
      <c r="D1311" s="70" t="str">
        <f t="shared" si="20"/>
        <v/>
      </c>
    </row>
    <row r="1312" spans="4:4" s="69" customFormat="1" x14ac:dyDescent="0.25">
      <c r="D1312" s="70" t="str">
        <f t="shared" si="20"/>
        <v/>
      </c>
    </row>
    <row r="1313" spans="4:4" s="69" customFormat="1" x14ac:dyDescent="0.25">
      <c r="D1313" s="70" t="str">
        <f t="shared" si="20"/>
        <v/>
      </c>
    </row>
    <row r="1314" spans="4:4" s="69" customFormat="1" x14ac:dyDescent="0.25">
      <c r="D1314" s="70" t="str">
        <f t="shared" si="20"/>
        <v/>
      </c>
    </row>
    <row r="1315" spans="4:4" s="69" customFormat="1" x14ac:dyDescent="0.25">
      <c r="D1315" s="70" t="str">
        <f t="shared" si="20"/>
        <v/>
      </c>
    </row>
    <row r="1316" spans="4:4" s="69" customFormat="1" x14ac:dyDescent="0.25">
      <c r="D1316" s="70" t="str">
        <f t="shared" si="20"/>
        <v/>
      </c>
    </row>
    <row r="1317" spans="4:4" s="69" customFormat="1" x14ac:dyDescent="0.25">
      <c r="D1317" s="70" t="str">
        <f t="shared" si="20"/>
        <v/>
      </c>
    </row>
    <row r="1318" spans="4:4" s="69" customFormat="1" x14ac:dyDescent="0.25">
      <c r="D1318" s="70" t="str">
        <f t="shared" si="20"/>
        <v/>
      </c>
    </row>
    <row r="1319" spans="4:4" s="69" customFormat="1" x14ac:dyDescent="0.25">
      <c r="D1319" s="70" t="str">
        <f t="shared" si="20"/>
        <v/>
      </c>
    </row>
    <row r="1320" spans="4:4" s="69" customFormat="1" x14ac:dyDescent="0.25">
      <c r="D1320" s="70" t="str">
        <f t="shared" si="20"/>
        <v/>
      </c>
    </row>
    <row r="1321" spans="4:4" s="69" customFormat="1" x14ac:dyDescent="0.25">
      <c r="D1321" s="70" t="str">
        <f t="shared" si="20"/>
        <v/>
      </c>
    </row>
    <row r="1322" spans="4:4" s="69" customFormat="1" x14ac:dyDescent="0.25">
      <c r="D1322" s="70" t="str">
        <f t="shared" si="20"/>
        <v/>
      </c>
    </row>
    <row r="1323" spans="4:4" s="69" customFormat="1" x14ac:dyDescent="0.25">
      <c r="D1323" s="70" t="str">
        <f t="shared" si="20"/>
        <v/>
      </c>
    </row>
    <row r="1324" spans="4:4" s="69" customFormat="1" x14ac:dyDescent="0.25">
      <c r="D1324" s="70" t="str">
        <f t="shared" si="20"/>
        <v/>
      </c>
    </row>
    <row r="1325" spans="4:4" s="69" customFormat="1" x14ac:dyDescent="0.25">
      <c r="D1325" s="70" t="str">
        <f t="shared" si="20"/>
        <v/>
      </c>
    </row>
    <row r="1326" spans="4:4" s="69" customFormat="1" x14ac:dyDescent="0.25">
      <c r="D1326" s="70" t="str">
        <f t="shared" si="20"/>
        <v/>
      </c>
    </row>
    <row r="1327" spans="4:4" s="69" customFormat="1" x14ac:dyDescent="0.25">
      <c r="D1327" s="70" t="str">
        <f t="shared" si="20"/>
        <v/>
      </c>
    </row>
    <row r="1328" spans="4:4" s="69" customFormat="1" x14ac:dyDescent="0.25">
      <c r="D1328" s="70" t="str">
        <f t="shared" si="20"/>
        <v/>
      </c>
    </row>
    <row r="1329" spans="4:4" s="69" customFormat="1" x14ac:dyDescent="0.25">
      <c r="D1329" s="70" t="str">
        <f t="shared" si="20"/>
        <v/>
      </c>
    </row>
    <row r="1330" spans="4:4" s="69" customFormat="1" x14ac:dyDescent="0.25">
      <c r="D1330" s="70" t="str">
        <f t="shared" si="20"/>
        <v/>
      </c>
    </row>
    <row r="1331" spans="4:4" s="69" customFormat="1" x14ac:dyDescent="0.25">
      <c r="D1331" s="70" t="str">
        <f t="shared" si="20"/>
        <v/>
      </c>
    </row>
    <row r="1332" spans="4:4" s="69" customFormat="1" x14ac:dyDescent="0.25">
      <c r="D1332" s="70" t="str">
        <f t="shared" si="20"/>
        <v/>
      </c>
    </row>
    <row r="1333" spans="4:4" s="69" customFormat="1" x14ac:dyDescent="0.25">
      <c r="D1333" s="70" t="str">
        <f t="shared" si="20"/>
        <v/>
      </c>
    </row>
    <row r="1334" spans="4:4" s="69" customFormat="1" x14ac:dyDescent="0.25">
      <c r="D1334" s="70" t="str">
        <f t="shared" si="20"/>
        <v/>
      </c>
    </row>
    <row r="1335" spans="4:4" s="69" customFormat="1" x14ac:dyDescent="0.25">
      <c r="D1335" s="70" t="str">
        <f t="shared" si="20"/>
        <v/>
      </c>
    </row>
    <row r="1336" spans="4:4" s="69" customFormat="1" x14ac:dyDescent="0.25">
      <c r="D1336" s="70" t="str">
        <f t="shared" si="20"/>
        <v/>
      </c>
    </row>
    <row r="1337" spans="4:4" s="69" customFormat="1" x14ac:dyDescent="0.25">
      <c r="D1337" s="70" t="str">
        <f t="shared" si="20"/>
        <v/>
      </c>
    </row>
    <row r="1338" spans="4:4" s="69" customFormat="1" x14ac:dyDescent="0.25">
      <c r="D1338" s="70" t="str">
        <f t="shared" si="20"/>
        <v/>
      </c>
    </row>
    <row r="1339" spans="4:4" s="69" customFormat="1" x14ac:dyDescent="0.25">
      <c r="D1339" s="70" t="str">
        <f t="shared" si="20"/>
        <v/>
      </c>
    </row>
    <row r="1340" spans="4:4" s="69" customFormat="1" x14ac:dyDescent="0.25">
      <c r="D1340" s="70" t="str">
        <f t="shared" si="20"/>
        <v/>
      </c>
    </row>
    <row r="1341" spans="4:4" s="69" customFormat="1" x14ac:dyDescent="0.25">
      <c r="D1341" s="70" t="str">
        <f t="shared" si="20"/>
        <v/>
      </c>
    </row>
    <row r="1342" spans="4:4" s="69" customFormat="1" x14ac:dyDescent="0.25">
      <c r="D1342" s="70" t="str">
        <f t="shared" si="20"/>
        <v/>
      </c>
    </row>
    <row r="1343" spans="4:4" s="69" customFormat="1" x14ac:dyDescent="0.25">
      <c r="D1343" s="70" t="str">
        <f t="shared" si="20"/>
        <v/>
      </c>
    </row>
    <row r="1344" spans="4:4" s="69" customFormat="1" x14ac:dyDescent="0.25">
      <c r="D1344" s="70" t="str">
        <f t="shared" si="20"/>
        <v/>
      </c>
    </row>
    <row r="1345" spans="4:4" s="69" customFormat="1" x14ac:dyDescent="0.25">
      <c r="D1345" s="70" t="str">
        <f t="shared" si="20"/>
        <v/>
      </c>
    </row>
    <row r="1346" spans="4:4" s="69" customFormat="1" x14ac:dyDescent="0.25">
      <c r="D1346" s="70" t="str">
        <f t="shared" si="20"/>
        <v/>
      </c>
    </row>
    <row r="1347" spans="4:4" s="69" customFormat="1" x14ac:dyDescent="0.25">
      <c r="D1347" s="70" t="str">
        <f t="shared" si="20"/>
        <v/>
      </c>
    </row>
    <row r="1348" spans="4:4" s="69" customFormat="1" x14ac:dyDescent="0.25">
      <c r="D1348" s="70" t="str">
        <f t="shared" si="20"/>
        <v/>
      </c>
    </row>
    <row r="1349" spans="4:4" s="69" customFormat="1" x14ac:dyDescent="0.25">
      <c r="D1349" s="70" t="str">
        <f t="shared" si="20"/>
        <v/>
      </c>
    </row>
    <row r="1350" spans="4:4" s="69" customFormat="1" x14ac:dyDescent="0.25">
      <c r="D1350" s="70" t="str">
        <f t="shared" si="20"/>
        <v/>
      </c>
    </row>
    <row r="1351" spans="4:4" s="69" customFormat="1" x14ac:dyDescent="0.25">
      <c r="D1351" s="70" t="str">
        <f t="shared" ref="D1351:D1414" si="21">IF(B1351&lt;&gt;"","&lt;file&gt;src\"&amp;B1351&amp;".xml&lt;/file&gt;","")</f>
        <v/>
      </c>
    </row>
    <row r="1352" spans="4:4" s="69" customFormat="1" x14ac:dyDescent="0.25">
      <c r="D1352" s="70" t="str">
        <f t="shared" si="21"/>
        <v/>
      </c>
    </row>
    <row r="1353" spans="4:4" s="69" customFormat="1" x14ac:dyDescent="0.25">
      <c r="D1353" s="70" t="str">
        <f t="shared" si="21"/>
        <v/>
      </c>
    </row>
    <row r="1354" spans="4:4" s="69" customFormat="1" x14ac:dyDescent="0.25">
      <c r="D1354" s="70" t="str">
        <f t="shared" si="21"/>
        <v/>
      </c>
    </row>
    <row r="1355" spans="4:4" s="69" customFormat="1" x14ac:dyDescent="0.25">
      <c r="D1355" s="70" t="str">
        <f t="shared" si="21"/>
        <v/>
      </c>
    </row>
    <row r="1356" spans="4:4" s="69" customFormat="1" x14ac:dyDescent="0.25">
      <c r="D1356" s="70" t="str">
        <f t="shared" si="21"/>
        <v/>
      </c>
    </row>
    <row r="1357" spans="4:4" s="69" customFormat="1" x14ac:dyDescent="0.25">
      <c r="D1357" s="70" t="str">
        <f t="shared" si="21"/>
        <v/>
      </c>
    </row>
    <row r="1358" spans="4:4" s="69" customFormat="1" x14ac:dyDescent="0.25">
      <c r="D1358" s="70" t="str">
        <f t="shared" si="21"/>
        <v/>
      </c>
    </row>
    <row r="1359" spans="4:4" s="69" customFormat="1" x14ac:dyDescent="0.25">
      <c r="D1359" s="70" t="str">
        <f t="shared" si="21"/>
        <v/>
      </c>
    </row>
    <row r="1360" spans="4:4" s="69" customFormat="1" x14ac:dyDescent="0.25">
      <c r="D1360" s="70" t="str">
        <f t="shared" si="21"/>
        <v/>
      </c>
    </row>
    <row r="1361" spans="4:4" s="69" customFormat="1" x14ac:dyDescent="0.25">
      <c r="D1361" s="70" t="str">
        <f t="shared" si="21"/>
        <v/>
      </c>
    </row>
    <row r="1362" spans="4:4" s="69" customFormat="1" x14ac:dyDescent="0.25">
      <c r="D1362" s="70" t="str">
        <f t="shared" si="21"/>
        <v/>
      </c>
    </row>
    <row r="1363" spans="4:4" s="69" customFormat="1" x14ac:dyDescent="0.25">
      <c r="D1363" s="70" t="str">
        <f t="shared" si="21"/>
        <v/>
      </c>
    </row>
    <row r="1364" spans="4:4" s="69" customFormat="1" x14ac:dyDescent="0.25">
      <c r="D1364" s="70" t="str">
        <f t="shared" si="21"/>
        <v/>
      </c>
    </row>
    <row r="1365" spans="4:4" s="69" customFormat="1" x14ac:dyDescent="0.25">
      <c r="D1365" s="70" t="str">
        <f t="shared" si="21"/>
        <v/>
      </c>
    </row>
    <row r="1366" spans="4:4" s="69" customFormat="1" x14ac:dyDescent="0.25">
      <c r="D1366" s="70" t="str">
        <f t="shared" si="21"/>
        <v/>
      </c>
    </row>
    <row r="1367" spans="4:4" s="69" customFormat="1" x14ac:dyDescent="0.25">
      <c r="D1367" s="70" t="str">
        <f t="shared" si="21"/>
        <v/>
      </c>
    </row>
    <row r="1368" spans="4:4" s="69" customFormat="1" x14ac:dyDescent="0.25">
      <c r="D1368" s="70" t="str">
        <f t="shared" si="21"/>
        <v/>
      </c>
    </row>
    <row r="1369" spans="4:4" s="69" customFormat="1" x14ac:dyDescent="0.25">
      <c r="D1369" s="70" t="str">
        <f t="shared" si="21"/>
        <v/>
      </c>
    </row>
    <row r="1370" spans="4:4" s="69" customFormat="1" x14ac:dyDescent="0.25">
      <c r="D1370" s="70" t="str">
        <f t="shared" si="21"/>
        <v/>
      </c>
    </row>
    <row r="1371" spans="4:4" s="69" customFormat="1" x14ac:dyDescent="0.25">
      <c r="D1371" s="70" t="str">
        <f t="shared" si="21"/>
        <v/>
      </c>
    </row>
    <row r="1372" spans="4:4" s="69" customFormat="1" x14ac:dyDescent="0.25">
      <c r="D1372" s="70" t="str">
        <f t="shared" si="21"/>
        <v/>
      </c>
    </row>
    <row r="1373" spans="4:4" s="69" customFormat="1" x14ac:dyDescent="0.25">
      <c r="D1373" s="70" t="str">
        <f t="shared" si="21"/>
        <v/>
      </c>
    </row>
    <row r="1374" spans="4:4" s="69" customFormat="1" x14ac:dyDescent="0.25">
      <c r="D1374" s="70" t="str">
        <f t="shared" si="21"/>
        <v/>
      </c>
    </row>
    <row r="1375" spans="4:4" s="69" customFormat="1" x14ac:dyDescent="0.25">
      <c r="D1375" s="70" t="str">
        <f t="shared" si="21"/>
        <v/>
      </c>
    </row>
    <row r="1376" spans="4:4" s="69" customFormat="1" x14ac:dyDescent="0.25">
      <c r="D1376" s="70" t="str">
        <f t="shared" si="21"/>
        <v/>
      </c>
    </row>
    <row r="1377" spans="4:4" s="69" customFormat="1" x14ac:dyDescent="0.25">
      <c r="D1377" s="70" t="str">
        <f t="shared" si="21"/>
        <v/>
      </c>
    </row>
    <row r="1378" spans="4:4" s="69" customFormat="1" x14ac:dyDescent="0.25">
      <c r="D1378" s="70" t="str">
        <f t="shared" si="21"/>
        <v/>
      </c>
    </row>
    <row r="1379" spans="4:4" s="69" customFormat="1" x14ac:dyDescent="0.25">
      <c r="D1379" s="70" t="str">
        <f t="shared" si="21"/>
        <v/>
      </c>
    </row>
    <row r="1380" spans="4:4" s="69" customFormat="1" x14ac:dyDescent="0.25">
      <c r="D1380" s="70" t="str">
        <f t="shared" si="21"/>
        <v/>
      </c>
    </row>
    <row r="1381" spans="4:4" s="69" customFormat="1" x14ac:dyDescent="0.25">
      <c r="D1381" s="70" t="str">
        <f t="shared" si="21"/>
        <v/>
      </c>
    </row>
    <row r="1382" spans="4:4" s="69" customFormat="1" x14ac:dyDescent="0.25">
      <c r="D1382" s="70" t="str">
        <f t="shared" si="21"/>
        <v/>
      </c>
    </row>
    <row r="1383" spans="4:4" s="69" customFormat="1" x14ac:dyDescent="0.25">
      <c r="D1383" s="70" t="str">
        <f t="shared" si="21"/>
        <v/>
      </c>
    </row>
    <row r="1384" spans="4:4" s="69" customFormat="1" x14ac:dyDescent="0.25">
      <c r="D1384" s="70" t="str">
        <f t="shared" si="21"/>
        <v/>
      </c>
    </row>
    <row r="1385" spans="4:4" s="69" customFormat="1" x14ac:dyDescent="0.25">
      <c r="D1385" s="70" t="str">
        <f t="shared" si="21"/>
        <v/>
      </c>
    </row>
    <row r="1386" spans="4:4" s="69" customFormat="1" x14ac:dyDescent="0.25">
      <c r="D1386" s="70" t="str">
        <f t="shared" si="21"/>
        <v/>
      </c>
    </row>
    <row r="1387" spans="4:4" s="69" customFormat="1" x14ac:dyDescent="0.25">
      <c r="D1387" s="70" t="str">
        <f t="shared" si="21"/>
        <v/>
      </c>
    </row>
    <row r="1388" spans="4:4" s="69" customFormat="1" x14ac:dyDescent="0.25">
      <c r="D1388" s="70" t="str">
        <f t="shared" si="21"/>
        <v/>
      </c>
    </row>
    <row r="1389" spans="4:4" s="69" customFormat="1" x14ac:dyDescent="0.25">
      <c r="D1389" s="70" t="str">
        <f t="shared" si="21"/>
        <v/>
      </c>
    </row>
    <row r="1390" spans="4:4" s="69" customFormat="1" x14ac:dyDescent="0.25">
      <c r="D1390" s="70" t="str">
        <f t="shared" si="21"/>
        <v/>
      </c>
    </row>
    <row r="1391" spans="4:4" s="69" customFormat="1" x14ac:dyDescent="0.25">
      <c r="D1391" s="70" t="str">
        <f t="shared" si="21"/>
        <v/>
      </c>
    </row>
    <row r="1392" spans="4:4" s="69" customFormat="1" x14ac:dyDescent="0.25">
      <c r="D1392" s="70" t="str">
        <f t="shared" si="21"/>
        <v/>
      </c>
    </row>
    <row r="1393" spans="4:4" s="69" customFormat="1" x14ac:dyDescent="0.25">
      <c r="D1393" s="70" t="str">
        <f t="shared" si="21"/>
        <v/>
      </c>
    </row>
    <row r="1394" spans="4:4" s="69" customFormat="1" x14ac:dyDescent="0.25">
      <c r="D1394" s="70" t="str">
        <f t="shared" si="21"/>
        <v/>
      </c>
    </row>
    <row r="1395" spans="4:4" s="69" customFormat="1" x14ac:dyDescent="0.25">
      <c r="D1395" s="70" t="str">
        <f t="shared" si="21"/>
        <v/>
      </c>
    </row>
    <row r="1396" spans="4:4" s="69" customFormat="1" x14ac:dyDescent="0.25">
      <c r="D1396" s="70" t="str">
        <f t="shared" si="21"/>
        <v/>
      </c>
    </row>
    <row r="1397" spans="4:4" s="69" customFormat="1" x14ac:dyDescent="0.25">
      <c r="D1397" s="70" t="str">
        <f t="shared" si="21"/>
        <v/>
      </c>
    </row>
    <row r="1398" spans="4:4" s="69" customFormat="1" x14ac:dyDescent="0.25">
      <c r="D1398" s="70" t="str">
        <f t="shared" si="21"/>
        <v/>
      </c>
    </row>
    <row r="1399" spans="4:4" s="69" customFormat="1" x14ac:dyDescent="0.25">
      <c r="D1399" s="70" t="str">
        <f t="shared" si="21"/>
        <v/>
      </c>
    </row>
    <row r="1400" spans="4:4" s="69" customFormat="1" x14ac:dyDescent="0.25">
      <c r="D1400" s="70" t="str">
        <f t="shared" si="21"/>
        <v/>
      </c>
    </row>
    <row r="1401" spans="4:4" s="69" customFormat="1" x14ac:dyDescent="0.25">
      <c r="D1401" s="70" t="str">
        <f t="shared" si="21"/>
        <v/>
      </c>
    </row>
    <row r="1402" spans="4:4" s="69" customFormat="1" x14ac:dyDescent="0.25">
      <c r="D1402" s="70" t="str">
        <f t="shared" si="21"/>
        <v/>
      </c>
    </row>
    <row r="1403" spans="4:4" s="69" customFormat="1" x14ac:dyDescent="0.25">
      <c r="D1403" s="70" t="str">
        <f t="shared" si="21"/>
        <v/>
      </c>
    </row>
    <row r="1404" spans="4:4" s="69" customFormat="1" x14ac:dyDescent="0.25">
      <c r="D1404" s="70" t="str">
        <f t="shared" si="21"/>
        <v/>
      </c>
    </row>
    <row r="1405" spans="4:4" s="69" customFormat="1" x14ac:dyDescent="0.25">
      <c r="D1405" s="70" t="str">
        <f t="shared" si="21"/>
        <v/>
      </c>
    </row>
    <row r="1406" spans="4:4" s="69" customFormat="1" x14ac:dyDescent="0.25">
      <c r="D1406" s="70" t="str">
        <f t="shared" si="21"/>
        <v/>
      </c>
    </row>
    <row r="1407" spans="4:4" s="69" customFormat="1" x14ac:dyDescent="0.25">
      <c r="D1407" s="70" t="str">
        <f t="shared" si="21"/>
        <v/>
      </c>
    </row>
    <row r="1408" spans="4:4" s="69" customFormat="1" x14ac:dyDescent="0.25">
      <c r="D1408" s="70" t="str">
        <f t="shared" si="21"/>
        <v/>
      </c>
    </row>
    <row r="1409" spans="4:4" s="69" customFormat="1" x14ac:dyDescent="0.25">
      <c r="D1409" s="70" t="str">
        <f t="shared" si="21"/>
        <v/>
      </c>
    </row>
    <row r="1410" spans="4:4" s="69" customFormat="1" x14ac:dyDescent="0.25">
      <c r="D1410" s="70" t="str">
        <f t="shared" si="21"/>
        <v/>
      </c>
    </row>
    <row r="1411" spans="4:4" s="69" customFormat="1" x14ac:dyDescent="0.25">
      <c r="D1411" s="70" t="str">
        <f t="shared" si="21"/>
        <v/>
      </c>
    </row>
    <row r="1412" spans="4:4" s="69" customFormat="1" x14ac:dyDescent="0.25">
      <c r="D1412" s="70" t="str">
        <f t="shared" si="21"/>
        <v/>
      </c>
    </row>
    <row r="1413" spans="4:4" s="69" customFormat="1" x14ac:dyDescent="0.25">
      <c r="D1413" s="70" t="str">
        <f t="shared" si="21"/>
        <v/>
      </c>
    </row>
    <row r="1414" spans="4:4" s="69" customFormat="1" x14ac:dyDescent="0.25">
      <c r="D1414" s="70" t="str">
        <f t="shared" si="21"/>
        <v/>
      </c>
    </row>
    <row r="1415" spans="4:4" s="69" customFormat="1" x14ac:dyDescent="0.25">
      <c r="D1415" s="70" t="str">
        <f t="shared" ref="D1415:D1478" si="22">IF(B1415&lt;&gt;"","&lt;file&gt;src\"&amp;B1415&amp;".xml&lt;/file&gt;","")</f>
        <v/>
      </c>
    </row>
    <row r="1416" spans="4:4" s="69" customFormat="1" x14ac:dyDescent="0.25">
      <c r="D1416" s="70" t="str">
        <f t="shared" si="22"/>
        <v/>
      </c>
    </row>
    <row r="1417" spans="4:4" s="69" customFormat="1" x14ac:dyDescent="0.25">
      <c r="D1417" s="70" t="str">
        <f t="shared" si="22"/>
        <v/>
      </c>
    </row>
    <row r="1418" spans="4:4" s="69" customFormat="1" x14ac:dyDescent="0.25">
      <c r="D1418" s="70" t="str">
        <f t="shared" si="22"/>
        <v/>
      </c>
    </row>
    <row r="1419" spans="4:4" s="69" customFormat="1" x14ac:dyDescent="0.25">
      <c r="D1419" s="70" t="str">
        <f t="shared" si="22"/>
        <v/>
      </c>
    </row>
    <row r="1420" spans="4:4" s="69" customFormat="1" x14ac:dyDescent="0.25">
      <c r="D1420" s="70" t="str">
        <f t="shared" si="22"/>
        <v/>
      </c>
    </row>
    <row r="1421" spans="4:4" s="69" customFormat="1" x14ac:dyDescent="0.25">
      <c r="D1421" s="70" t="str">
        <f t="shared" si="22"/>
        <v/>
      </c>
    </row>
    <row r="1422" spans="4:4" s="69" customFormat="1" x14ac:dyDescent="0.25">
      <c r="D1422" s="70" t="str">
        <f t="shared" si="22"/>
        <v/>
      </c>
    </row>
    <row r="1423" spans="4:4" s="69" customFormat="1" x14ac:dyDescent="0.25">
      <c r="D1423" s="70" t="str">
        <f t="shared" si="22"/>
        <v/>
      </c>
    </row>
    <row r="1424" spans="4:4" s="69" customFormat="1" x14ac:dyDescent="0.25">
      <c r="D1424" s="70" t="str">
        <f t="shared" si="22"/>
        <v/>
      </c>
    </row>
    <row r="1425" spans="4:4" s="69" customFormat="1" x14ac:dyDescent="0.25">
      <c r="D1425" s="70" t="str">
        <f t="shared" si="22"/>
        <v/>
      </c>
    </row>
    <row r="1426" spans="4:4" s="69" customFormat="1" x14ac:dyDescent="0.25">
      <c r="D1426" s="70" t="str">
        <f t="shared" si="22"/>
        <v/>
      </c>
    </row>
    <row r="1427" spans="4:4" s="69" customFormat="1" x14ac:dyDescent="0.25">
      <c r="D1427" s="70" t="str">
        <f t="shared" si="22"/>
        <v/>
      </c>
    </row>
    <row r="1428" spans="4:4" s="69" customFormat="1" x14ac:dyDescent="0.25">
      <c r="D1428" s="70" t="str">
        <f t="shared" si="22"/>
        <v/>
      </c>
    </row>
    <row r="1429" spans="4:4" s="69" customFormat="1" x14ac:dyDescent="0.25">
      <c r="D1429" s="70" t="str">
        <f t="shared" si="22"/>
        <v/>
      </c>
    </row>
    <row r="1430" spans="4:4" s="69" customFormat="1" x14ac:dyDescent="0.25">
      <c r="D1430" s="70" t="str">
        <f t="shared" si="22"/>
        <v/>
      </c>
    </row>
    <row r="1431" spans="4:4" s="69" customFormat="1" x14ac:dyDescent="0.25">
      <c r="D1431" s="70" t="str">
        <f t="shared" si="22"/>
        <v/>
      </c>
    </row>
    <row r="1432" spans="4:4" s="69" customFormat="1" x14ac:dyDescent="0.25">
      <c r="D1432" s="70" t="str">
        <f t="shared" si="22"/>
        <v/>
      </c>
    </row>
    <row r="1433" spans="4:4" s="69" customFormat="1" x14ac:dyDescent="0.25">
      <c r="D1433" s="70" t="str">
        <f t="shared" si="22"/>
        <v/>
      </c>
    </row>
    <row r="1434" spans="4:4" s="69" customFormat="1" x14ac:dyDescent="0.25">
      <c r="D1434" s="70" t="str">
        <f t="shared" si="22"/>
        <v/>
      </c>
    </row>
    <row r="1435" spans="4:4" s="69" customFormat="1" x14ac:dyDescent="0.25">
      <c r="D1435" s="70" t="str">
        <f t="shared" si="22"/>
        <v/>
      </c>
    </row>
    <row r="1436" spans="4:4" s="69" customFormat="1" x14ac:dyDescent="0.25">
      <c r="D1436" s="70" t="str">
        <f t="shared" si="22"/>
        <v/>
      </c>
    </row>
    <row r="1437" spans="4:4" s="69" customFormat="1" x14ac:dyDescent="0.25">
      <c r="D1437" s="70" t="str">
        <f t="shared" si="22"/>
        <v/>
      </c>
    </row>
    <row r="1438" spans="4:4" s="69" customFormat="1" x14ac:dyDescent="0.25">
      <c r="D1438" s="70" t="str">
        <f t="shared" si="22"/>
        <v/>
      </c>
    </row>
    <row r="1439" spans="4:4" s="69" customFormat="1" x14ac:dyDescent="0.25">
      <c r="D1439" s="70" t="str">
        <f t="shared" si="22"/>
        <v/>
      </c>
    </row>
    <row r="1440" spans="4:4" s="69" customFormat="1" x14ac:dyDescent="0.25">
      <c r="D1440" s="70" t="str">
        <f t="shared" si="22"/>
        <v/>
      </c>
    </row>
    <row r="1441" spans="4:4" s="69" customFormat="1" x14ac:dyDescent="0.25">
      <c r="D1441" s="70" t="str">
        <f t="shared" si="22"/>
        <v/>
      </c>
    </row>
    <row r="1442" spans="4:4" s="69" customFormat="1" x14ac:dyDescent="0.25">
      <c r="D1442" s="70" t="str">
        <f t="shared" si="22"/>
        <v/>
      </c>
    </row>
    <row r="1443" spans="4:4" s="69" customFormat="1" x14ac:dyDescent="0.25">
      <c r="D1443" s="70" t="str">
        <f t="shared" si="22"/>
        <v/>
      </c>
    </row>
    <row r="1444" spans="4:4" s="69" customFormat="1" x14ac:dyDescent="0.25">
      <c r="D1444" s="70" t="str">
        <f t="shared" si="22"/>
        <v/>
      </c>
    </row>
    <row r="1445" spans="4:4" s="69" customFormat="1" x14ac:dyDescent="0.25">
      <c r="D1445" s="70" t="str">
        <f t="shared" si="22"/>
        <v/>
      </c>
    </row>
    <row r="1446" spans="4:4" s="69" customFormat="1" x14ac:dyDescent="0.25">
      <c r="D1446" s="70" t="str">
        <f t="shared" si="22"/>
        <v/>
      </c>
    </row>
    <row r="1447" spans="4:4" s="69" customFormat="1" x14ac:dyDescent="0.25">
      <c r="D1447" s="70" t="str">
        <f t="shared" si="22"/>
        <v/>
      </c>
    </row>
    <row r="1448" spans="4:4" s="69" customFormat="1" x14ac:dyDescent="0.25">
      <c r="D1448" s="70" t="str">
        <f t="shared" si="22"/>
        <v/>
      </c>
    </row>
    <row r="1449" spans="4:4" s="69" customFormat="1" x14ac:dyDescent="0.25">
      <c r="D1449" s="70" t="str">
        <f t="shared" si="22"/>
        <v/>
      </c>
    </row>
    <row r="1450" spans="4:4" s="69" customFormat="1" x14ac:dyDescent="0.25">
      <c r="D1450" s="70" t="str">
        <f t="shared" si="22"/>
        <v/>
      </c>
    </row>
    <row r="1451" spans="4:4" s="69" customFormat="1" x14ac:dyDescent="0.25">
      <c r="D1451" s="70" t="str">
        <f t="shared" si="22"/>
        <v/>
      </c>
    </row>
    <row r="1452" spans="4:4" s="69" customFormat="1" x14ac:dyDescent="0.25">
      <c r="D1452" s="70" t="str">
        <f t="shared" si="22"/>
        <v/>
      </c>
    </row>
    <row r="1453" spans="4:4" s="69" customFormat="1" x14ac:dyDescent="0.25">
      <c r="D1453" s="70" t="str">
        <f t="shared" si="22"/>
        <v/>
      </c>
    </row>
    <row r="1454" spans="4:4" s="69" customFormat="1" x14ac:dyDescent="0.25">
      <c r="D1454" s="70" t="str">
        <f t="shared" si="22"/>
        <v/>
      </c>
    </row>
    <row r="1455" spans="4:4" s="69" customFormat="1" x14ac:dyDescent="0.25">
      <c r="D1455" s="70" t="str">
        <f t="shared" si="22"/>
        <v/>
      </c>
    </row>
    <row r="1456" spans="4:4" s="69" customFormat="1" x14ac:dyDescent="0.25">
      <c r="D1456" s="70" t="str">
        <f t="shared" si="22"/>
        <v/>
      </c>
    </row>
    <row r="1457" spans="4:4" s="69" customFormat="1" x14ac:dyDescent="0.25">
      <c r="D1457" s="70" t="str">
        <f t="shared" si="22"/>
        <v/>
      </c>
    </row>
    <row r="1458" spans="4:4" s="69" customFormat="1" x14ac:dyDescent="0.25">
      <c r="D1458" s="70" t="str">
        <f t="shared" si="22"/>
        <v/>
      </c>
    </row>
    <row r="1459" spans="4:4" s="69" customFormat="1" x14ac:dyDescent="0.25">
      <c r="D1459" s="70" t="str">
        <f t="shared" si="22"/>
        <v/>
      </c>
    </row>
    <row r="1460" spans="4:4" s="69" customFormat="1" x14ac:dyDescent="0.25">
      <c r="D1460" s="70" t="str">
        <f t="shared" si="22"/>
        <v/>
      </c>
    </row>
    <row r="1461" spans="4:4" s="69" customFormat="1" x14ac:dyDescent="0.25">
      <c r="D1461" s="70" t="str">
        <f t="shared" si="22"/>
        <v/>
      </c>
    </row>
    <row r="1462" spans="4:4" s="69" customFormat="1" x14ac:dyDescent="0.25">
      <c r="D1462" s="70" t="str">
        <f t="shared" si="22"/>
        <v/>
      </c>
    </row>
    <row r="1463" spans="4:4" s="69" customFormat="1" x14ac:dyDescent="0.25">
      <c r="D1463" s="70" t="str">
        <f t="shared" si="22"/>
        <v/>
      </c>
    </row>
    <row r="1464" spans="4:4" s="69" customFormat="1" x14ac:dyDescent="0.25">
      <c r="D1464" s="70" t="str">
        <f t="shared" si="22"/>
        <v/>
      </c>
    </row>
    <row r="1465" spans="4:4" s="69" customFormat="1" x14ac:dyDescent="0.25">
      <c r="D1465" s="70" t="str">
        <f t="shared" si="22"/>
        <v/>
      </c>
    </row>
    <row r="1466" spans="4:4" s="69" customFormat="1" x14ac:dyDescent="0.25">
      <c r="D1466" s="70" t="str">
        <f t="shared" si="22"/>
        <v/>
      </c>
    </row>
    <row r="1467" spans="4:4" s="69" customFormat="1" x14ac:dyDescent="0.25">
      <c r="D1467" s="70" t="str">
        <f t="shared" si="22"/>
        <v/>
      </c>
    </row>
    <row r="1468" spans="4:4" s="69" customFormat="1" x14ac:dyDescent="0.25">
      <c r="D1468" s="70" t="str">
        <f t="shared" si="22"/>
        <v/>
      </c>
    </row>
    <row r="1469" spans="4:4" s="69" customFormat="1" x14ac:dyDescent="0.25">
      <c r="D1469" s="70" t="str">
        <f t="shared" si="22"/>
        <v/>
      </c>
    </row>
    <row r="1470" spans="4:4" s="69" customFormat="1" x14ac:dyDescent="0.25">
      <c r="D1470" s="70" t="str">
        <f t="shared" si="22"/>
        <v/>
      </c>
    </row>
    <row r="1471" spans="4:4" s="69" customFormat="1" x14ac:dyDescent="0.25">
      <c r="D1471" s="70" t="str">
        <f t="shared" si="22"/>
        <v/>
      </c>
    </row>
    <row r="1472" spans="4:4" s="69" customFormat="1" x14ac:dyDescent="0.25">
      <c r="D1472" s="70" t="str">
        <f t="shared" si="22"/>
        <v/>
      </c>
    </row>
    <row r="1473" spans="4:4" s="69" customFormat="1" x14ac:dyDescent="0.25">
      <c r="D1473" s="70" t="str">
        <f t="shared" si="22"/>
        <v/>
      </c>
    </row>
    <row r="1474" spans="4:4" s="69" customFormat="1" x14ac:dyDescent="0.25">
      <c r="D1474" s="70" t="str">
        <f t="shared" si="22"/>
        <v/>
      </c>
    </row>
    <row r="1475" spans="4:4" s="69" customFormat="1" x14ac:dyDescent="0.25">
      <c r="D1475" s="70" t="str">
        <f t="shared" si="22"/>
        <v/>
      </c>
    </row>
    <row r="1476" spans="4:4" s="69" customFormat="1" x14ac:dyDescent="0.25">
      <c r="D1476" s="70" t="str">
        <f t="shared" si="22"/>
        <v/>
      </c>
    </row>
    <row r="1477" spans="4:4" s="69" customFormat="1" x14ac:dyDescent="0.25">
      <c r="D1477" s="70" t="str">
        <f t="shared" si="22"/>
        <v/>
      </c>
    </row>
    <row r="1478" spans="4:4" s="69" customFormat="1" x14ac:dyDescent="0.25">
      <c r="D1478" s="70" t="str">
        <f t="shared" si="22"/>
        <v/>
      </c>
    </row>
    <row r="1479" spans="4:4" s="69" customFormat="1" x14ac:dyDescent="0.25">
      <c r="D1479" s="70" t="str">
        <f t="shared" ref="D1479:D1505" si="23">IF(B1479&lt;&gt;"","&lt;file&gt;src\"&amp;B1479&amp;".xml&lt;/file&gt;","")</f>
        <v/>
      </c>
    </row>
    <row r="1480" spans="4:4" s="69" customFormat="1" x14ac:dyDescent="0.25">
      <c r="D1480" s="70" t="str">
        <f t="shared" si="23"/>
        <v/>
      </c>
    </row>
    <row r="1481" spans="4:4" s="69" customFormat="1" x14ac:dyDescent="0.25">
      <c r="D1481" s="70" t="str">
        <f t="shared" si="23"/>
        <v/>
      </c>
    </row>
    <row r="1482" spans="4:4" s="69" customFormat="1" x14ac:dyDescent="0.25">
      <c r="D1482" s="70" t="str">
        <f t="shared" si="23"/>
        <v/>
      </c>
    </row>
    <row r="1483" spans="4:4" s="69" customFormat="1" x14ac:dyDescent="0.25">
      <c r="D1483" s="70" t="str">
        <f t="shared" si="23"/>
        <v/>
      </c>
    </row>
    <row r="1484" spans="4:4" s="69" customFormat="1" x14ac:dyDescent="0.25">
      <c r="D1484" s="70" t="str">
        <f t="shared" si="23"/>
        <v/>
      </c>
    </row>
    <row r="1485" spans="4:4" s="69" customFormat="1" x14ac:dyDescent="0.25">
      <c r="D1485" s="70" t="str">
        <f t="shared" si="23"/>
        <v/>
      </c>
    </row>
    <row r="1486" spans="4:4" s="69" customFormat="1" x14ac:dyDescent="0.25">
      <c r="D1486" s="70" t="str">
        <f t="shared" si="23"/>
        <v/>
      </c>
    </row>
    <row r="1487" spans="4:4" s="69" customFormat="1" x14ac:dyDescent="0.25">
      <c r="D1487" s="70" t="str">
        <f t="shared" si="23"/>
        <v/>
      </c>
    </row>
    <row r="1488" spans="4:4" s="69" customFormat="1" x14ac:dyDescent="0.25">
      <c r="D1488" s="70" t="str">
        <f t="shared" si="23"/>
        <v/>
      </c>
    </row>
    <row r="1489" spans="4:4" s="69" customFormat="1" x14ac:dyDescent="0.25">
      <c r="D1489" s="70" t="str">
        <f t="shared" si="23"/>
        <v/>
      </c>
    </row>
    <row r="1490" spans="4:4" s="69" customFormat="1" x14ac:dyDescent="0.25">
      <c r="D1490" s="70" t="str">
        <f t="shared" si="23"/>
        <v/>
      </c>
    </row>
    <row r="1491" spans="4:4" s="69" customFormat="1" x14ac:dyDescent="0.25">
      <c r="D1491" s="70" t="str">
        <f t="shared" si="23"/>
        <v/>
      </c>
    </row>
    <row r="1492" spans="4:4" s="69" customFormat="1" x14ac:dyDescent="0.25">
      <c r="D1492" s="70" t="str">
        <f t="shared" si="23"/>
        <v/>
      </c>
    </row>
    <row r="1493" spans="4:4" s="69" customFormat="1" x14ac:dyDescent="0.25">
      <c r="D1493" s="70" t="str">
        <f t="shared" si="23"/>
        <v/>
      </c>
    </row>
    <row r="1494" spans="4:4" s="69" customFormat="1" x14ac:dyDescent="0.25">
      <c r="D1494" s="70" t="str">
        <f t="shared" si="23"/>
        <v/>
      </c>
    </row>
    <row r="1495" spans="4:4" s="69" customFormat="1" x14ac:dyDescent="0.25">
      <c r="D1495" s="70" t="str">
        <f t="shared" si="23"/>
        <v/>
      </c>
    </row>
    <row r="1496" spans="4:4" s="69" customFormat="1" x14ac:dyDescent="0.25">
      <c r="D1496" s="70" t="str">
        <f t="shared" si="23"/>
        <v/>
      </c>
    </row>
    <row r="1497" spans="4:4" s="69" customFormat="1" x14ac:dyDescent="0.25">
      <c r="D1497" s="70" t="str">
        <f t="shared" si="23"/>
        <v/>
      </c>
    </row>
    <row r="1498" spans="4:4" s="69" customFormat="1" x14ac:dyDescent="0.25">
      <c r="D1498" s="70" t="str">
        <f t="shared" si="23"/>
        <v/>
      </c>
    </row>
    <row r="1499" spans="4:4" s="69" customFormat="1" x14ac:dyDescent="0.25">
      <c r="D1499" s="70" t="str">
        <f t="shared" si="23"/>
        <v/>
      </c>
    </row>
    <row r="1500" spans="4:4" s="69" customFormat="1" x14ac:dyDescent="0.25">
      <c r="D1500" s="70" t="str">
        <f t="shared" si="23"/>
        <v/>
      </c>
    </row>
    <row r="1501" spans="4:4" s="69" customFormat="1" x14ac:dyDescent="0.25">
      <c r="D1501" s="70" t="str">
        <f t="shared" si="23"/>
        <v/>
      </c>
    </row>
    <row r="1502" spans="4:4" s="69" customFormat="1" x14ac:dyDescent="0.25">
      <c r="D1502" s="70" t="str">
        <f t="shared" si="23"/>
        <v/>
      </c>
    </row>
    <row r="1503" spans="4:4" s="69" customFormat="1" x14ac:dyDescent="0.25">
      <c r="D1503" s="70" t="str">
        <f t="shared" si="23"/>
        <v/>
      </c>
    </row>
    <row r="1504" spans="4:4" s="69" customFormat="1" x14ac:dyDescent="0.25">
      <c r="D1504" s="70" t="str">
        <f t="shared" si="23"/>
        <v/>
      </c>
    </row>
    <row r="1505" spans="4:4" s="69" customFormat="1" x14ac:dyDescent="0.25">
      <c r="D1505" s="80" t="str">
        <f t="shared" si="23"/>
        <v/>
      </c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Pict="0" macro="[0]!自动导入场景_Click">
                <anchor moveWithCells="1" sizeWithCells="1">
                  <from>
                    <xdr:col>0</xdr:col>
                    <xdr:colOff>260350</xdr:colOff>
                    <xdr:row>0</xdr:row>
                    <xdr:rowOff>374650</xdr:rowOff>
                  </from>
                  <to>
                    <xdr:col>1</xdr:col>
                    <xdr:colOff>717550</xdr:colOff>
                    <xdr:row>2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Pict="0" macro="[0]!生成页面元素_Click">
                <anchor moveWithCells="1" sizeWithCells="1">
                  <from>
                    <xdr:col>1</xdr:col>
                    <xdr:colOff>1098550</xdr:colOff>
                    <xdr:row>0</xdr:row>
                    <xdr:rowOff>361950</xdr:rowOff>
                  </from>
                  <to>
                    <xdr:col>1</xdr:col>
                    <xdr:colOff>2438400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Button 3">
              <controlPr defaultSize="0" print="0" autoPict="0" macro="[0]!生成场景xml_Click">
                <anchor moveWithCells="1" sizeWithCells="1">
                  <from>
                    <xdr:col>2</xdr:col>
                    <xdr:colOff>869950</xdr:colOff>
                    <xdr:row>0</xdr:row>
                    <xdr:rowOff>374650</xdr:rowOff>
                  </from>
                  <to>
                    <xdr:col>2</xdr:col>
                    <xdr:colOff>2209800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7" name="Button 4">
              <controlPr defaultSize="0" print="0" autoPict="0" macro="[0]!生成用例_Click">
                <anchor moveWithCells="1" sizeWithCells="1">
                  <from>
                    <xdr:col>1</xdr:col>
                    <xdr:colOff>2755900</xdr:colOff>
                    <xdr:row>0</xdr:row>
                    <xdr:rowOff>374650</xdr:rowOff>
                  </from>
                  <to>
                    <xdr:col>2</xdr:col>
                    <xdr:colOff>412750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50"/>
  </sheetPr>
  <dimension ref="A1:G122"/>
  <sheetViews>
    <sheetView topLeftCell="A31" zoomScale="85" zoomScaleNormal="85" workbookViewId="0">
      <selection activeCell="D33" sqref="D33"/>
    </sheetView>
  </sheetViews>
  <sheetFormatPr defaultColWidth="9" defaultRowHeight="14" outlineLevelRow="2" x14ac:dyDescent="0.25"/>
  <cols>
    <col min="1" max="1" width="16" customWidth="1"/>
    <col min="2" max="2" width="11.453125" hidden="1" customWidth="1"/>
    <col min="3" max="3" width="20.26953125" customWidth="1"/>
    <col min="4" max="4" width="29" customWidth="1"/>
    <col min="5" max="5" width="56.453125" customWidth="1"/>
    <col min="6" max="6" width="45.08984375" style="6" customWidth="1"/>
    <col min="7" max="7" width="26.90625" customWidth="1"/>
  </cols>
  <sheetData>
    <row r="1" spans="1:7" ht="34.5" customHeight="1" x14ac:dyDescent="0.25">
      <c r="A1" s="50" t="s">
        <v>306</v>
      </c>
      <c r="B1" s="50" t="s">
        <v>507</v>
      </c>
      <c r="C1" s="50" t="s">
        <v>304</v>
      </c>
      <c r="D1" s="50" t="s">
        <v>0</v>
      </c>
      <c r="E1" s="50" t="s">
        <v>1</v>
      </c>
      <c r="F1" s="51" t="s">
        <v>2</v>
      </c>
      <c r="G1" s="50" t="s">
        <v>305</v>
      </c>
    </row>
    <row r="2" spans="1:7" ht="56" hidden="1" outlineLevel="2" x14ac:dyDescent="0.25">
      <c r="B2" s="25" t="s">
        <v>307</v>
      </c>
      <c r="C2" s="13" t="s">
        <v>3</v>
      </c>
      <c r="D2" s="25" t="s">
        <v>547</v>
      </c>
      <c r="E2" s="15" t="s">
        <v>399</v>
      </c>
      <c r="F2" s="15" t="s">
        <v>393</v>
      </c>
      <c r="G2" s="13" t="str">
        <f t="shared" ref="G2:G51" si="0">"Keywords."&amp;D2</f>
        <v>Keywords.OpenURL</v>
      </c>
    </row>
    <row r="3" spans="1:7" ht="70" hidden="1" outlineLevel="2" x14ac:dyDescent="0.25">
      <c r="B3" s="25" t="s">
        <v>307</v>
      </c>
      <c r="C3" s="13" t="s">
        <v>3</v>
      </c>
      <c r="D3" s="25" t="s">
        <v>121</v>
      </c>
      <c r="E3" s="15" t="s">
        <v>392</v>
      </c>
      <c r="F3" s="15" t="s">
        <v>394</v>
      </c>
      <c r="G3" s="13" t="str">
        <f t="shared" si="0"/>
        <v>Keywords.Input</v>
      </c>
    </row>
    <row r="4" spans="1:7" ht="70" hidden="1" outlineLevel="2" x14ac:dyDescent="0.25">
      <c r="B4" s="25" t="s">
        <v>307</v>
      </c>
      <c r="C4" s="13" t="s">
        <v>3</v>
      </c>
      <c r="D4" s="13" t="s">
        <v>5</v>
      </c>
      <c r="E4" s="15" t="s">
        <v>347</v>
      </c>
      <c r="F4" s="15" t="s">
        <v>395</v>
      </c>
      <c r="G4" s="13" t="str">
        <f t="shared" si="0"/>
        <v>Keywords.Click</v>
      </c>
    </row>
    <row r="5" spans="1:7" ht="56" hidden="1" outlineLevel="2" x14ac:dyDescent="0.25">
      <c r="B5" s="25" t="s">
        <v>307</v>
      </c>
      <c r="C5" s="13" t="s">
        <v>3</v>
      </c>
      <c r="D5" s="13" t="s">
        <v>16</v>
      </c>
      <c r="E5" s="15" t="s">
        <v>396</v>
      </c>
      <c r="F5" s="15" t="s">
        <v>397</v>
      </c>
      <c r="G5" s="13" t="str">
        <f t="shared" si="0"/>
        <v>Keywords.WaitOn</v>
      </c>
    </row>
    <row r="6" spans="1:7" ht="70" hidden="1" outlineLevel="2" x14ac:dyDescent="0.25">
      <c r="B6" s="25" t="s">
        <v>307</v>
      </c>
      <c r="C6" s="13" t="s">
        <v>3</v>
      </c>
      <c r="D6" s="26" t="s">
        <v>75</v>
      </c>
      <c r="E6" s="14" t="s">
        <v>111</v>
      </c>
      <c r="F6" s="15" t="s">
        <v>398</v>
      </c>
      <c r="G6" s="13" t="str">
        <f t="shared" si="0"/>
        <v>Keywords.SelectSingleOption</v>
      </c>
    </row>
    <row r="7" spans="1:7" ht="168" hidden="1" outlineLevel="2" x14ac:dyDescent="0.25">
      <c r="B7" s="25" t="s">
        <v>307</v>
      </c>
      <c r="C7" s="13" t="s">
        <v>3</v>
      </c>
      <c r="D7" s="13" t="s">
        <v>17</v>
      </c>
      <c r="E7" s="15" t="s">
        <v>400</v>
      </c>
      <c r="F7" s="15" t="s">
        <v>543</v>
      </c>
      <c r="G7" s="13" t="str">
        <f t="shared" si="0"/>
        <v>Keywords.MouseAction</v>
      </c>
    </row>
    <row r="8" spans="1:7" ht="154" hidden="1" outlineLevel="2" x14ac:dyDescent="0.25">
      <c r="B8" s="25" t="s">
        <v>307</v>
      </c>
      <c r="C8" s="13" t="s">
        <v>3</v>
      </c>
      <c r="D8" s="26" t="s">
        <v>534</v>
      </c>
      <c r="E8" s="15" t="s">
        <v>402</v>
      </c>
      <c r="F8" s="15" t="s">
        <v>401</v>
      </c>
      <c r="G8" s="13" t="str">
        <f t="shared" si="0"/>
        <v>Keywords.KeyboardOperation</v>
      </c>
    </row>
    <row r="9" spans="1:7" ht="84" hidden="1" outlineLevel="2" x14ac:dyDescent="0.25">
      <c r="B9" s="25" t="s">
        <v>307</v>
      </c>
      <c r="C9" s="13" t="s">
        <v>3</v>
      </c>
      <c r="D9" s="4" t="s">
        <v>18</v>
      </c>
      <c r="E9" s="15" t="s">
        <v>403</v>
      </c>
      <c r="F9" s="15" t="s">
        <v>406</v>
      </c>
      <c r="G9" s="13" t="str">
        <f t="shared" si="0"/>
        <v>Keywords.SwitchToFrame</v>
      </c>
    </row>
    <row r="10" spans="1:7" ht="70" hidden="1" outlineLevel="2" x14ac:dyDescent="0.25">
      <c r="B10" s="25" t="s">
        <v>307</v>
      </c>
      <c r="C10" s="13" t="s">
        <v>3</v>
      </c>
      <c r="D10" s="26" t="s">
        <v>569</v>
      </c>
      <c r="E10" s="15" t="s">
        <v>570</v>
      </c>
      <c r="F10" s="15" t="s">
        <v>571</v>
      </c>
      <c r="G10" s="13" t="str">
        <f>"Keywords."&amp;D10</f>
        <v>Keywords.MoveToElement</v>
      </c>
    </row>
    <row r="11" spans="1:7" ht="56" hidden="1" outlineLevel="2" x14ac:dyDescent="0.25">
      <c r="B11" s="25" t="s">
        <v>307</v>
      </c>
      <c r="C11" s="13" t="s">
        <v>3</v>
      </c>
      <c r="D11" s="4" t="s">
        <v>19</v>
      </c>
      <c r="E11" s="15" t="s">
        <v>404</v>
      </c>
      <c r="F11" s="15" t="s">
        <v>405</v>
      </c>
      <c r="G11" s="13" t="str">
        <f t="shared" si="0"/>
        <v>Keywords.SwitchOutOfFrame</v>
      </c>
    </row>
    <row r="12" spans="1:7" outlineLevel="1" collapsed="1" x14ac:dyDescent="0.25">
      <c r="A12" s="54" t="s">
        <v>377</v>
      </c>
      <c r="B12" s="25">
        <f>SUBTOTAL(3,B2:B11)</f>
        <v>10</v>
      </c>
      <c r="C12" s="13"/>
      <c r="D12" s="4"/>
      <c r="E12" s="14"/>
      <c r="F12" s="15"/>
      <c r="G12" s="13"/>
    </row>
    <row r="13" spans="1:7" ht="84" outlineLevel="2" x14ac:dyDescent="0.25">
      <c r="B13" s="25" t="s">
        <v>309</v>
      </c>
      <c r="C13" s="13" t="s">
        <v>3</v>
      </c>
      <c r="D13" s="25" t="s">
        <v>530</v>
      </c>
      <c r="E13" s="15" t="s">
        <v>422</v>
      </c>
      <c r="F13" s="15" t="s">
        <v>421</v>
      </c>
      <c r="G13" s="13" t="str">
        <f t="shared" si="0"/>
        <v>Keywords.Verify_Text_Equal</v>
      </c>
    </row>
    <row r="14" spans="1:7" ht="84" outlineLevel="2" x14ac:dyDescent="0.25">
      <c r="B14" s="25" t="s">
        <v>309</v>
      </c>
      <c r="C14" s="13" t="s">
        <v>3</v>
      </c>
      <c r="D14" s="25" t="s">
        <v>532</v>
      </c>
      <c r="E14" s="15" t="s">
        <v>420</v>
      </c>
      <c r="F14" s="15" t="s">
        <v>419</v>
      </c>
      <c r="G14" s="13" t="str">
        <f t="shared" si="0"/>
        <v>Keywords.Verify_Text_NotEqual</v>
      </c>
    </row>
    <row r="15" spans="1:7" ht="98" outlineLevel="2" x14ac:dyDescent="0.25">
      <c r="B15" s="25" t="s">
        <v>309</v>
      </c>
      <c r="C15" s="13" t="s">
        <v>3</v>
      </c>
      <c r="D15" s="25" t="s">
        <v>407</v>
      </c>
      <c r="E15" s="15" t="s">
        <v>417</v>
      </c>
      <c r="F15" s="15" t="s">
        <v>418</v>
      </c>
      <c r="G15" s="13" t="str">
        <f t="shared" si="0"/>
        <v>Keywords.Verify_Enabled</v>
      </c>
    </row>
    <row r="16" spans="1:7" ht="98" outlineLevel="2" x14ac:dyDescent="0.25">
      <c r="B16" s="25" t="s">
        <v>309</v>
      </c>
      <c r="C16" s="13" t="s">
        <v>3</v>
      </c>
      <c r="D16" s="25" t="s">
        <v>531</v>
      </c>
      <c r="E16" s="15" t="s">
        <v>416</v>
      </c>
      <c r="F16" s="15" t="s">
        <v>414</v>
      </c>
      <c r="G16" s="13" t="str">
        <f t="shared" si="0"/>
        <v>Keywords.VerifyElementExistence</v>
      </c>
    </row>
    <row r="17" spans="2:7" ht="98" outlineLevel="2" x14ac:dyDescent="0.25">
      <c r="B17" s="25" t="s">
        <v>309</v>
      </c>
      <c r="C17" s="13" t="s">
        <v>3</v>
      </c>
      <c r="D17" s="25" t="s">
        <v>288</v>
      </c>
      <c r="E17" s="15" t="s">
        <v>415</v>
      </c>
      <c r="F17" s="15" t="s">
        <v>413</v>
      </c>
      <c r="G17" s="13" t="str">
        <f t="shared" si="0"/>
        <v>Keywords.Verify_Displayed</v>
      </c>
    </row>
    <row r="18" spans="2:7" ht="98" outlineLevel="2" x14ac:dyDescent="0.25">
      <c r="B18" s="25" t="s">
        <v>309</v>
      </c>
      <c r="C18" s="13" t="s">
        <v>3</v>
      </c>
      <c r="D18" s="13" t="s">
        <v>50</v>
      </c>
      <c r="E18" s="15" t="s">
        <v>412</v>
      </c>
      <c r="F18" s="15" t="s">
        <v>411</v>
      </c>
      <c r="G18" s="13" t="str">
        <f t="shared" si="0"/>
        <v>Keywords.Verify_Selected</v>
      </c>
    </row>
    <row r="19" spans="2:7" ht="84" outlineLevel="2" x14ac:dyDescent="0.25">
      <c r="B19" s="25" t="s">
        <v>309</v>
      </c>
      <c r="C19" s="13" t="s">
        <v>3</v>
      </c>
      <c r="D19" s="25" t="s">
        <v>408</v>
      </c>
      <c r="E19" s="15" t="s">
        <v>426</v>
      </c>
      <c r="F19" s="15" t="s">
        <v>410</v>
      </c>
      <c r="G19" s="13" t="str">
        <f t="shared" si="0"/>
        <v>Keywords.Verify_Propery</v>
      </c>
    </row>
    <row r="20" spans="2:7" ht="112" outlineLevel="2" x14ac:dyDescent="0.25">
      <c r="B20" s="25" t="s">
        <v>309</v>
      </c>
      <c r="C20" s="13" t="s">
        <v>3</v>
      </c>
      <c r="D20" s="25" t="s">
        <v>533</v>
      </c>
      <c r="E20" s="15" t="s">
        <v>425</v>
      </c>
      <c r="F20" s="15" t="s">
        <v>409</v>
      </c>
      <c r="G20" s="13" t="str">
        <f t="shared" si="0"/>
        <v>Keywords.Verify_Contain</v>
      </c>
    </row>
    <row r="21" spans="2:7" ht="126" outlineLevel="2" x14ac:dyDescent="0.25">
      <c r="B21" s="25" t="s">
        <v>309</v>
      </c>
      <c r="C21" s="13" t="s">
        <v>3</v>
      </c>
      <c r="D21" s="25" t="s">
        <v>153</v>
      </c>
      <c r="E21" s="15" t="s">
        <v>436</v>
      </c>
      <c r="F21" s="15" t="s">
        <v>423</v>
      </c>
      <c r="G21" s="13" t="str">
        <f t="shared" si="0"/>
        <v>Keywords.Verify_Match</v>
      </c>
    </row>
    <row r="22" spans="2:7" ht="70" outlineLevel="2" x14ac:dyDescent="0.25">
      <c r="B22" s="25" t="s">
        <v>309</v>
      </c>
      <c r="C22" s="13" t="s">
        <v>3</v>
      </c>
      <c r="D22" s="25" t="s">
        <v>424</v>
      </c>
      <c r="E22" s="15" t="s">
        <v>427</v>
      </c>
      <c r="F22" s="15" t="s">
        <v>428</v>
      </c>
      <c r="G22" s="13" t="str">
        <f t="shared" si="0"/>
        <v>Keywords.VerifyInputValue_Equal</v>
      </c>
    </row>
    <row r="23" spans="2:7" ht="56" outlineLevel="2" x14ac:dyDescent="0.25">
      <c r="B23" s="25" t="s">
        <v>309</v>
      </c>
      <c r="C23" s="13" t="s">
        <v>3</v>
      </c>
      <c r="D23" s="26" t="s">
        <v>429</v>
      </c>
      <c r="E23" s="15" t="s">
        <v>433</v>
      </c>
      <c r="F23" s="15" t="s">
        <v>430</v>
      </c>
      <c r="G23" s="13" t="str">
        <f t="shared" si="0"/>
        <v>Keywords.VerifyAlertText</v>
      </c>
    </row>
    <row r="24" spans="2:7" ht="165" customHeight="1" outlineLevel="2" x14ac:dyDescent="0.25">
      <c r="B24" s="25" t="s">
        <v>309</v>
      </c>
      <c r="C24" s="13" t="s">
        <v>3</v>
      </c>
      <c r="D24" s="48" t="s">
        <v>431</v>
      </c>
      <c r="E24" s="15" t="s">
        <v>310</v>
      </c>
      <c r="F24" s="15" t="s">
        <v>432</v>
      </c>
      <c r="G24" s="13" t="str">
        <f t="shared" si="0"/>
        <v>Keywords.Verify_Text_Equal_WithExcelValue</v>
      </c>
    </row>
    <row r="25" spans="2:7" ht="84" outlineLevel="2" x14ac:dyDescent="0.25">
      <c r="B25" s="25" t="s">
        <v>309</v>
      </c>
      <c r="C25" s="13" t="s">
        <v>3</v>
      </c>
      <c r="D25" s="25" t="s">
        <v>160</v>
      </c>
      <c r="E25" s="15" t="s">
        <v>435</v>
      </c>
      <c r="F25" s="15" t="s">
        <v>334</v>
      </c>
      <c r="G25" s="13" t="str">
        <f t="shared" si="0"/>
        <v>Keywords.VerifyList_Equal</v>
      </c>
    </row>
    <row r="26" spans="2:7" ht="84" outlineLevel="2" x14ac:dyDescent="0.25">
      <c r="B26" s="25" t="s">
        <v>309</v>
      </c>
      <c r="C26" s="13" t="s">
        <v>3</v>
      </c>
      <c r="D26" s="13" t="s">
        <v>12</v>
      </c>
      <c r="E26" s="15" t="s">
        <v>434</v>
      </c>
      <c r="F26" s="15" t="s">
        <v>335</v>
      </c>
      <c r="G26" s="13" t="str">
        <f t="shared" si="0"/>
        <v>Keywords.VerifyList_Contain</v>
      </c>
    </row>
    <row r="27" spans="2:7" ht="98" outlineLevel="2" x14ac:dyDescent="0.25">
      <c r="B27" s="25" t="s">
        <v>309</v>
      </c>
      <c r="C27" s="13" t="s">
        <v>3</v>
      </c>
      <c r="D27" s="13" t="s">
        <v>13</v>
      </c>
      <c r="E27" s="15" t="s">
        <v>464</v>
      </c>
      <c r="F27" s="15" t="s">
        <v>336</v>
      </c>
      <c r="G27" s="13" t="str">
        <f t="shared" si="0"/>
        <v>Keywords.VerifyList_match</v>
      </c>
    </row>
    <row r="28" spans="2:7" ht="112" outlineLevel="2" x14ac:dyDescent="0.25">
      <c r="B28" s="25" t="s">
        <v>309</v>
      </c>
      <c r="C28" s="13" t="s">
        <v>3</v>
      </c>
      <c r="D28" s="25" t="s">
        <v>437</v>
      </c>
      <c r="E28" s="15" t="s">
        <v>438</v>
      </c>
      <c r="F28" s="15" t="s">
        <v>439</v>
      </c>
      <c r="G28" s="13" t="str">
        <f t="shared" si="0"/>
        <v>Keywords.VerifyList_Sorting</v>
      </c>
    </row>
    <row r="29" spans="2:7" ht="56" outlineLevel="2" x14ac:dyDescent="0.25">
      <c r="B29" s="25" t="s">
        <v>309</v>
      </c>
      <c r="C29" s="25" t="s">
        <v>324</v>
      </c>
      <c r="D29" s="25" t="s">
        <v>193</v>
      </c>
      <c r="E29" s="15" t="s">
        <v>440</v>
      </c>
      <c r="F29" s="15" t="s">
        <v>441</v>
      </c>
      <c r="G29" s="13" t="str">
        <f>"Keywords."&amp;D29</f>
        <v>Keywords.Compare_Equal</v>
      </c>
    </row>
    <row r="30" spans="2:7" ht="154" outlineLevel="2" x14ac:dyDescent="0.25">
      <c r="B30" s="25"/>
      <c r="C30" s="25" t="s">
        <v>728</v>
      </c>
      <c r="D30" s="25" t="s">
        <v>727</v>
      </c>
      <c r="E30" s="15" t="s">
        <v>729</v>
      </c>
      <c r="F30" s="15" t="s">
        <v>729</v>
      </c>
      <c r="G30" s="13" t="str">
        <f>"Keywords."&amp;D30</f>
        <v>Keywords.Verify_Equal</v>
      </c>
    </row>
    <row r="31" spans="2:7" ht="84" outlineLevel="2" x14ac:dyDescent="0.25">
      <c r="B31" s="25" t="s">
        <v>309</v>
      </c>
      <c r="C31" s="25" t="s">
        <v>324</v>
      </c>
      <c r="D31" s="25" t="s">
        <v>604</v>
      </c>
      <c r="E31" s="15" t="s">
        <v>605</v>
      </c>
      <c r="F31" s="15" t="s">
        <v>606</v>
      </c>
      <c r="G31" s="13" t="str">
        <f>"Keywords."&amp;D31</f>
        <v>Keywords.Verify_AnyContain</v>
      </c>
    </row>
    <row r="32" spans="2:7" ht="70" outlineLevel="2" x14ac:dyDescent="0.25">
      <c r="B32" s="25"/>
      <c r="C32" s="25" t="s">
        <v>324</v>
      </c>
      <c r="D32" s="25" t="s">
        <v>921</v>
      </c>
      <c r="E32" s="15" t="s">
        <v>922</v>
      </c>
      <c r="F32" s="15" t="s">
        <v>923</v>
      </c>
      <c r="G32" s="13" t="str">
        <f>"Keywords."&amp;D32</f>
        <v>Keywords.verifyElementNum</v>
      </c>
    </row>
    <row r="33" spans="1:7" ht="70" outlineLevel="2" x14ac:dyDescent="0.25">
      <c r="B33" s="25"/>
      <c r="C33" s="25" t="s">
        <v>324</v>
      </c>
      <c r="D33" s="25" t="s">
        <v>984</v>
      </c>
      <c r="E33" s="15" t="s">
        <v>985</v>
      </c>
      <c r="F33" s="15" t="s">
        <v>986</v>
      </c>
      <c r="G33" s="13" t="str">
        <f>"Keywords."&amp;D33</f>
        <v>Keywords.ClickIfExite</v>
      </c>
    </row>
    <row r="34" spans="1:7" ht="84" outlineLevel="2" x14ac:dyDescent="0.25">
      <c r="B34" s="25" t="s">
        <v>309</v>
      </c>
      <c r="C34" s="25" t="s">
        <v>324</v>
      </c>
      <c r="D34" s="25" t="s">
        <v>869</v>
      </c>
      <c r="E34" s="15" t="s">
        <v>870</v>
      </c>
      <c r="F34" s="15" t="s">
        <v>606</v>
      </c>
      <c r="G34" s="13" t="str">
        <f>"Keywords."&amp;D34</f>
        <v>Keywords.editAttribute</v>
      </c>
    </row>
    <row r="35" spans="1:7" outlineLevel="1" x14ac:dyDescent="0.25">
      <c r="A35" s="54" t="s">
        <v>378</v>
      </c>
      <c r="B35" s="25">
        <f>SUBTOTAL(3,B13:B34)</f>
        <v>19</v>
      </c>
      <c r="C35" s="25"/>
      <c r="D35" s="25"/>
      <c r="E35" s="14"/>
      <c r="F35" s="15"/>
      <c r="G35" s="13"/>
    </row>
    <row r="36" spans="1:7" ht="70" hidden="1" outlineLevel="2" x14ac:dyDescent="0.25">
      <c r="B36" s="25" t="s">
        <v>323</v>
      </c>
      <c r="C36" s="25" t="s">
        <v>324</v>
      </c>
      <c r="D36" s="25" t="s">
        <v>528</v>
      </c>
      <c r="E36" s="15" t="s">
        <v>346</v>
      </c>
      <c r="F36" s="15" t="s">
        <v>352</v>
      </c>
      <c r="G36" s="13" t="str">
        <f t="shared" si="0"/>
        <v>Keywords.waitForObjectAppear</v>
      </c>
    </row>
    <row r="37" spans="1:7" ht="70" hidden="1" outlineLevel="2" x14ac:dyDescent="0.25">
      <c r="B37" s="25" t="s">
        <v>323</v>
      </c>
      <c r="C37" s="25" t="s">
        <v>324</v>
      </c>
      <c r="D37" s="25" t="s">
        <v>325</v>
      </c>
      <c r="E37" s="15" t="s">
        <v>345</v>
      </c>
      <c r="F37" s="15" t="s">
        <v>353</v>
      </c>
      <c r="G37" s="13" t="str">
        <f t="shared" si="0"/>
        <v>Keywords.waitForObjectADisappear</v>
      </c>
    </row>
    <row r="38" spans="1:7" ht="70" hidden="1" outlineLevel="2" x14ac:dyDescent="0.25">
      <c r="B38" s="25" t="s">
        <v>323</v>
      </c>
      <c r="C38" s="25" t="s">
        <v>324</v>
      </c>
      <c r="D38" s="25" t="s">
        <v>344</v>
      </c>
      <c r="E38" s="15" t="s">
        <v>345</v>
      </c>
      <c r="F38" s="15" t="s">
        <v>354</v>
      </c>
      <c r="G38" s="13" t="str">
        <f t="shared" si="0"/>
        <v>Keywords.waitForElementToBeClickable</v>
      </c>
    </row>
    <row r="39" spans="1:7" ht="70" hidden="1" outlineLevel="2" x14ac:dyDescent="0.25">
      <c r="B39" s="25" t="s">
        <v>323</v>
      </c>
      <c r="C39" s="25" t="s">
        <v>324</v>
      </c>
      <c r="D39" s="25" t="s">
        <v>349</v>
      </c>
      <c r="E39" s="15" t="s">
        <v>345</v>
      </c>
      <c r="F39" s="15" t="s">
        <v>355</v>
      </c>
      <c r="G39" s="13" t="str">
        <f t="shared" si="0"/>
        <v>Keywords.waitForAttributeToBe</v>
      </c>
    </row>
    <row r="40" spans="1:7" ht="70" hidden="1" outlineLevel="2" x14ac:dyDescent="0.25">
      <c r="B40" s="25" t="s">
        <v>323</v>
      </c>
      <c r="C40" s="25" t="s">
        <v>324</v>
      </c>
      <c r="D40" s="25" t="s">
        <v>350</v>
      </c>
      <c r="E40" s="15" t="s">
        <v>345</v>
      </c>
      <c r="F40" s="15" t="s">
        <v>356</v>
      </c>
      <c r="G40" s="13" t="str">
        <f t="shared" si="0"/>
        <v>Keywords.waitForAttributeContains</v>
      </c>
    </row>
    <row r="41" spans="1:7" ht="56" hidden="1" outlineLevel="2" x14ac:dyDescent="0.25">
      <c r="B41" s="25" t="s">
        <v>323</v>
      </c>
      <c r="C41" s="25" t="s">
        <v>324</v>
      </c>
      <c r="D41" s="25" t="s">
        <v>351</v>
      </c>
      <c r="E41" s="15" t="s">
        <v>442</v>
      </c>
      <c r="F41" s="15" t="s">
        <v>357</v>
      </c>
      <c r="G41" s="13" t="str">
        <f t="shared" si="0"/>
        <v>Keywords.waitForNumOfWindowsToBe</v>
      </c>
    </row>
    <row r="42" spans="1:7" ht="84" hidden="1" outlineLevel="2" x14ac:dyDescent="0.25">
      <c r="B42" s="25" t="s">
        <v>323</v>
      </c>
      <c r="C42" s="25" t="s">
        <v>324</v>
      </c>
      <c r="D42" s="25" t="s">
        <v>358</v>
      </c>
      <c r="E42" s="15" t="s">
        <v>345</v>
      </c>
      <c r="F42" s="15" t="s">
        <v>360</v>
      </c>
      <c r="G42" s="13" t="str">
        <f t="shared" si="0"/>
        <v>Keywords.WaitForStatusChange</v>
      </c>
    </row>
    <row r="43" spans="1:7" ht="70" hidden="1" outlineLevel="2" x14ac:dyDescent="0.25">
      <c r="B43" s="25" t="s">
        <v>323</v>
      </c>
      <c r="C43" s="25" t="s">
        <v>324</v>
      </c>
      <c r="D43" s="25" t="s">
        <v>359</v>
      </c>
      <c r="E43" s="15" t="s">
        <v>345</v>
      </c>
      <c r="F43" s="15" t="s">
        <v>361</v>
      </c>
      <c r="G43" s="13" t="str">
        <f t="shared" si="0"/>
        <v>Keywords.waitForTextAppear</v>
      </c>
    </row>
    <row r="44" spans="1:7" ht="70" hidden="1" outlineLevel="2" x14ac:dyDescent="0.25">
      <c r="B44" s="25" t="s">
        <v>323</v>
      </c>
      <c r="C44" s="25" t="s">
        <v>324</v>
      </c>
      <c r="D44" s="25" t="s">
        <v>362</v>
      </c>
      <c r="E44" s="15" t="s">
        <v>345</v>
      </c>
      <c r="F44" s="15" t="s">
        <v>363</v>
      </c>
      <c r="G44" s="13" t="str">
        <f t="shared" si="0"/>
        <v>Keywords.waitForTextContains</v>
      </c>
    </row>
    <row r="45" spans="1:7" ht="70" hidden="1" outlineLevel="2" x14ac:dyDescent="0.25">
      <c r="B45" s="25" t="s">
        <v>323</v>
      </c>
      <c r="C45" s="25" t="s">
        <v>324</v>
      </c>
      <c r="D45" s="25" t="s">
        <v>364</v>
      </c>
      <c r="E45" s="15" t="s">
        <v>345</v>
      </c>
      <c r="F45" s="15" t="s">
        <v>365</v>
      </c>
      <c r="G45" s="13" t="str">
        <f t="shared" si="0"/>
        <v>Keywords.waitForTextMatches</v>
      </c>
    </row>
    <row r="46" spans="1:7" ht="70" hidden="1" outlineLevel="2" x14ac:dyDescent="0.25">
      <c r="B46" s="25" t="s">
        <v>323</v>
      </c>
      <c r="C46" s="25" t="s">
        <v>324</v>
      </c>
      <c r="D46" s="25" t="s">
        <v>366</v>
      </c>
      <c r="E46" s="15" t="s">
        <v>345</v>
      </c>
      <c r="F46" s="15" t="s">
        <v>361</v>
      </c>
      <c r="G46" s="13" t="str">
        <f t="shared" si="0"/>
        <v>Keywords.waitForTextToBe</v>
      </c>
    </row>
    <row r="47" spans="1:7" ht="70" hidden="1" outlineLevel="2" x14ac:dyDescent="0.25">
      <c r="B47" s="25" t="s">
        <v>323</v>
      </c>
      <c r="C47" s="25" t="s">
        <v>324</v>
      </c>
      <c r="D47" s="25" t="s">
        <v>367</v>
      </c>
      <c r="E47" s="15" t="s">
        <v>442</v>
      </c>
      <c r="F47" s="15" t="s">
        <v>368</v>
      </c>
      <c r="G47" s="13" t="str">
        <f t="shared" si="0"/>
        <v>Keywords.waitForURLContains</v>
      </c>
    </row>
    <row r="48" spans="1:7" ht="70" hidden="1" outlineLevel="2" x14ac:dyDescent="0.25">
      <c r="B48" s="25" t="s">
        <v>323</v>
      </c>
      <c r="C48" s="25" t="s">
        <v>324</v>
      </c>
      <c r="D48" s="25" t="s">
        <v>369</v>
      </c>
      <c r="E48" s="15" t="s">
        <v>442</v>
      </c>
      <c r="F48" s="15" t="s">
        <v>370</v>
      </c>
      <c r="G48" s="13" t="str">
        <f t="shared" si="0"/>
        <v>Keywords.waitForURLIs</v>
      </c>
    </row>
    <row r="49" spans="1:7" ht="70" hidden="1" outlineLevel="2" x14ac:dyDescent="0.25">
      <c r="B49" s="25" t="s">
        <v>323</v>
      </c>
      <c r="C49" s="25" t="s">
        <v>324</v>
      </c>
      <c r="D49" s="25" t="s">
        <v>371</v>
      </c>
      <c r="E49" s="15" t="s">
        <v>345</v>
      </c>
      <c r="F49" s="15" t="s">
        <v>372</v>
      </c>
      <c r="G49" s="13" t="str">
        <f t="shared" si="0"/>
        <v>Keywords.waitForValueAttributeContains</v>
      </c>
    </row>
    <row r="50" spans="1:7" ht="56" hidden="1" outlineLevel="2" x14ac:dyDescent="0.25">
      <c r="B50" s="25" t="s">
        <v>323</v>
      </c>
      <c r="C50" s="25" t="s">
        <v>324</v>
      </c>
      <c r="D50" s="25" t="s">
        <v>373</v>
      </c>
      <c r="E50" s="15" t="s">
        <v>442</v>
      </c>
      <c r="F50" s="15" t="s">
        <v>374</v>
      </c>
      <c r="G50" s="13" t="str">
        <f t="shared" si="0"/>
        <v>Keywords.waitForWindowsTitleContains</v>
      </c>
    </row>
    <row r="51" spans="1:7" ht="56" hidden="1" outlineLevel="2" x14ac:dyDescent="0.25">
      <c r="B51" s="25" t="s">
        <v>323</v>
      </c>
      <c r="C51" s="25" t="s">
        <v>324</v>
      </c>
      <c r="D51" s="25" t="s">
        <v>375</v>
      </c>
      <c r="E51" s="15" t="s">
        <v>442</v>
      </c>
      <c r="F51" s="15" t="s">
        <v>376</v>
      </c>
      <c r="G51" s="13" t="str">
        <f t="shared" si="0"/>
        <v>Keywords.waitForWindowsTitleIs</v>
      </c>
    </row>
    <row r="52" spans="1:7" outlineLevel="1" collapsed="1" x14ac:dyDescent="0.25">
      <c r="A52" s="54" t="s">
        <v>379</v>
      </c>
      <c r="B52" s="25">
        <f>SUBTOTAL(3,B36:B51)</f>
        <v>16</v>
      </c>
      <c r="C52" s="25"/>
      <c r="D52" s="25"/>
      <c r="E52" s="15"/>
      <c r="F52" s="15"/>
      <c r="G52" s="13"/>
    </row>
    <row r="53" spans="1:7" ht="42" hidden="1" outlineLevel="2" x14ac:dyDescent="0.25">
      <c r="B53" s="25" t="s">
        <v>311</v>
      </c>
      <c r="C53" s="13" t="s">
        <v>3</v>
      </c>
      <c r="D53" s="26" t="s">
        <v>290</v>
      </c>
      <c r="E53" s="15" t="s">
        <v>444</v>
      </c>
      <c r="F53" s="15" t="s">
        <v>450</v>
      </c>
      <c r="G53" s="13" t="str">
        <f t="shared" ref="G53:G90" si="1">"Keywords."&amp;D53</f>
        <v>Keywords.OpenNewTabWithAURL</v>
      </c>
    </row>
    <row r="54" spans="1:7" ht="84" hidden="1" outlineLevel="2" x14ac:dyDescent="0.25">
      <c r="B54" s="25" t="s">
        <v>311</v>
      </c>
      <c r="C54" s="13" t="s">
        <v>3</v>
      </c>
      <c r="D54" s="26" t="s">
        <v>122</v>
      </c>
      <c r="E54" s="15" t="s">
        <v>443</v>
      </c>
      <c r="F54" s="15" t="s">
        <v>448</v>
      </c>
      <c r="G54" s="13" t="str">
        <f t="shared" si="1"/>
        <v>Keywords.SwitchToWindowByTitle</v>
      </c>
    </row>
    <row r="55" spans="1:7" ht="84" hidden="1" outlineLevel="2" x14ac:dyDescent="0.25">
      <c r="B55" s="25" t="s">
        <v>311</v>
      </c>
      <c r="C55" s="13" t="s">
        <v>3</v>
      </c>
      <c r="D55" s="26" t="s">
        <v>113</v>
      </c>
      <c r="E55" s="15" t="s">
        <v>445</v>
      </c>
      <c r="F55" s="15" t="s">
        <v>449</v>
      </c>
      <c r="G55" s="13" t="str">
        <f t="shared" si="1"/>
        <v>Keywords.SwitchToWindowByURL</v>
      </c>
    </row>
    <row r="56" spans="1:7" ht="70" hidden="1" outlineLevel="2" x14ac:dyDescent="0.25">
      <c r="B56" s="25" t="s">
        <v>311</v>
      </c>
      <c r="C56" s="13" t="s">
        <v>3</v>
      </c>
      <c r="D56" s="26" t="s">
        <v>312</v>
      </c>
      <c r="E56" s="15" t="s">
        <v>446</v>
      </c>
      <c r="F56" s="15" t="s">
        <v>447</v>
      </c>
      <c r="G56" s="13" t="str">
        <f t="shared" si="1"/>
        <v>Keywords.SwitchToNearestWindow</v>
      </c>
    </row>
    <row r="57" spans="1:7" ht="84" hidden="1" outlineLevel="2" x14ac:dyDescent="0.25">
      <c r="B57" s="25" t="s">
        <v>311</v>
      </c>
      <c r="C57" s="13" t="s">
        <v>3</v>
      </c>
      <c r="D57" s="26" t="s">
        <v>452</v>
      </c>
      <c r="E57" s="15" t="s">
        <v>451</v>
      </c>
      <c r="F57" s="15" t="s">
        <v>453</v>
      </c>
      <c r="G57" s="13" t="str">
        <f t="shared" si="1"/>
        <v>Keywords.SwitchToNumWindow</v>
      </c>
    </row>
    <row r="58" spans="1:7" ht="42" hidden="1" outlineLevel="2" x14ac:dyDescent="0.25">
      <c r="B58" s="25" t="s">
        <v>311</v>
      </c>
      <c r="C58" s="13" t="s">
        <v>3</v>
      </c>
      <c r="D58" s="26" t="s">
        <v>298</v>
      </c>
      <c r="E58" s="15" t="s">
        <v>454</v>
      </c>
      <c r="F58" s="15" t="s">
        <v>333</v>
      </c>
      <c r="G58" s="13" t="str">
        <f t="shared" si="1"/>
        <v>Keywords.CurrentPageRefresh</v>
      </c>
    </row>
    <row r="59" spans="1:7" ht="42" hidden="1" outlineLevel="2" x14ac:dyDescent="0.25">
      <c r="B59" s="25" t="s">
        <v>311</v>
      </c>
      <c r="C59" s="13" t="s">
        <v>3</v>
      </c>
      <c r="D59" s="26" t="s">
        <v>299</v>
      </c>
      <c r="E59" s="15" t="s">
        <v>455</v>
      </c>
      <c r="F59" s="15" t="s">
        <v>332</v>
      </c>
      <c r="G59" s="13" t="str">
        <f t="shared" si="1"/>
        <v>Keywords.CurrentWindowClose</v>
      </c>
    </row>
    <row r="60" spans="1:7" ht="42" hidden="1" outlineLevel="2" x14ac:dyDescent="0.25">
      <c r="B60" s="25" t="s">
        <v>311</v>
      </c>
      <c r="C60" s="13" t="s">
        <v>3</v>
      </c>
      <c r="D60" s="4" t="s">
        <v>20</v>
      </c>
      <c r="E60" s="15" t="s">
        <v>456</v>
      </c>
      <c r="F60" s="15" t="s">
        <v>331</v>
      </c>
      <c r="G60" s="13" t="str">
        <f t="shared" si="1"/>
        <v>Keywords.ConfirmIfConfirmationPopup</v>
      </c>
    </row>
    <row r="61" spans="1:7" ht="42" hidden="1" outlineLevel="2" x14ac:dyDescent="0.25">
      <c r="B61" s="25" t="s">
        <v>311</v>
      </c>
      <c r="C61" s="13" t="s">
        <v>3</v>
      </c>
      <c r="D61" s="25" t="s">
        <v>458</v>
      </c>
      <c r="E61" s="15" t="s">
        <v>457</v>
      </c>
      <c r="F61" s="15" t="s">
        <v>459</v>
      </c>
      <c r="G61" s="13" t="str">
        <f t="shared" si="1"/>
        <v>Keywords.CloseBrowserThenOpenBrowser</v>
      </c>
    </row>
    <row r="62" spans="1:7" outlineLevel="1" collapsed="1" x14ac:dyDescent="0.25">
      <c r="A62" s="54" t="s">
        <v>380</v>
      </c>
      <c r="B62" s="25">
        <f>SUBTOTAL(3,B53:B61)</f>
        <v>9</v>
      </c>
      <c r="C62" s="13"/>
      <c r="D62" s="25"/>
      <c r="E62" s="15"/>
      <c r="F62" s="15"/>
      <c r="G62" s="13"/>
    </row>
    <row r="63" spans="1:7" ht="84" hidden="1" outlineLevel="2" x14ac:dyDescent="0.25">
      <c r="B63" s="25" t="s">
        <v>313</v>
      </c>
      <c r="C63" s="13" t="s">
        <v>3</v>
      </c>
      <c r="D63" s="25" t="s">
        <v>289</v>
      </c>
      <c r="E63" s="15" t="s">
        <v>460</v>
      </c>
      <c r="F63" s="15" t="s">
        <v>461</v>
      </c>
      <c r="G63" s="13" t="str">
        <f t="shared" si="1"/>
        <v>Keywords.Buffer</v>
      </c>
    </row>
    <row r="64" spans="1:7" ht="98" hidden="1" outlineLevel="2" x14ac:dyDescent="0.25">
      <c r="B64" s="25" t="s">
        <v>313</v>
      </c>
      <c r="C64" s="13" t="s">
        <v>3</v>
      </c>
      <c r="D64" s="25" t="s">
        <v>462</v>
      </c>
      <c r="E64" s="15" t="s">
        <v>466</v>
      </c>
      <c r="F64" s="15" t="s">
        <v>463</v>
      </c>
      <c r="G64" s="13" t="str">
        <f t="shared" si="1"/>
        <v>Keywords.Buffer_Replace</v>
      </c>
    </row>
    <row r="65" spans="1:7" ht="112" hidden="1" outlineLevel="2" x14ac:dyDescent="0.25">
      <c r="B65" s="25" t="s">
        <v>313</v>
      </c>
      <c r="C65" s="13" t="s">
        <v>3</v>
      </c>
      <c r="D65" s="13" t="s">
        <v>14</v>
      </c>
      <c r="E65" s="15" t="s">
        <v>491</v>
      </c>
      <c r="F65" s="15" t="s">
        <v>467</v>
      </c>
      <c r="G65" s="13" t="str">
        <f t="shared" si="1"/>
        <v>Keywords.Buffer_Pattern</v>
      </c>
    </row>
    <row r="66" spans="1:7" ht="70" hidden="1" outlineLevel="2" x14ac:dyDescent="0.25">
      <c r="B66" s="25" t="s">
        <v>313</v>
      </c>
      <c r="C66" s="13" t="s">
        <v>3</v>
      </c>
      <c r="D66" s="25" t="s">
        <v>465</v>
      </c>
      <c r="E66" s="15" t="s">
        <v>468</v>
      </c>
      <c r="F66" s="15" t="s">
        <v>469</v>
      </c>
      <c r="G66" s="13" t="str">
        <f t="shared" si="1"/>
        <v>Keywords.BufferInputValue</v>
      </c>
    </row>
    <row r="67" spans="1:7" outlineLevel="1" collapsed="1" x14ac:dyDescent="0.25">
      <c r="A67" s="54" t="s">
        <v>381</v>
      </c>
      <c r="B67" s="25">
        <f>SUBTOTAL(3,B63:B66)</f>
        <v>4</v>
      </c>
      <c r="C67" s="13"/>
      <c r="D67" s="25"/>
      <c r="E67" s="15"/>
      <c r="F67" s="15"/>
      <c r="G67" s="13"/>
    </row>
    <row r="68" spans="1:7" ht="56" hidden="1" outlineLevel="2" x14ac:dyDescent="0.25">
      <c r="B68" s="25" t="s">
        <v>314</v>
      </c>
      <c r="C68" s="13" t="s">
        <v>3</v>
      </c>
      <c r="D68" s="48" t="s">
        <v>470</v>
      </c>
      <c r="E68" s="15" t="s">
        <v>473</v>
      </c>
      <c r="F68" s="15" t="s">
        <v>472</v>
      </c>
      <c r="G68" s="13" t="str">
        <f t="shared" si="1"/>
        <v>Keywords.ScrollLeft</v>
      </c>
    </row>
    <row r="69" spans="1:7" ht="56" hidden="1" outlineLevel="2" x14ac:dyDescent="0.25">
      <c r="B69" s="25" t="s">
        <v>314</v>
      </c>
      <c r="C69" s="13" t="s">
        <v>3</v>
      </c>
      <c r="D69" s="49" t="s">
        <v>294</v>
      </c>
      <c r="E69" s="15" t="s">
        <v>471</v>
      </c>
      <c r="F69" s="15" t="s">
        <v>474</v>
      </c>
      <c r="G69" s="13" t="str">
        <f t="shared" si="1"/>
        <v>Keywords.ScrollTop</v>
      </c>
    </row>
    <row r="70" spans="1:7" ht="70" hidden="1" outlineLevel="2" x14ac:dyDescent="0.25">
      <c r="B70" s="25" t="s">
        <v>314</v>
      </c>
      <c r="C70" s="13" t="s">
        <v>3</v>
      </c>
      <c r="D70" s="49" t="s">
        <v>295</v>
      </c>
      <c r="E70" s="15" t="s">
        <v>475</v>
      </c>
      <c r="F70" s="15" t="s">
        <v>476</v>
      </c>
      <c r="G70" s="13" t="str">
        <f t="shared" si="1"/>
        <v>Keywords.ScrollIntoView</v>
      </c>
    </row>
    <row r="71" spans="1:7" ht="42" hidden="1" outlineLevel="2" x14ac:dyDescent="0.25">
      <c r="B71" s="25" t="s">
        <v>314</v>
      </c>
      <c r="C71" s="13" t="s">
        <v>3</v>
      </c>
      <c r="D71" s="49" t="s">
        <v>296</v>
      </c>
      <c r="E71" s="15" t="s">
        <v>477</v>
      </c>
      <c r="F71" s="15" t="s">
        <v>479</v>
      </c>
      <c r="G71" s="13" t="str">
        <f t="shared" si="1"/>
        <v>Keywords.Browser_ScrollLeft</v>
      </c>
    </row>
    <row r="72" spans="1:7" ht="42" hidden="1" outlineLevel="2" x14ac:dyDescent="0.25">
      <c r="B72" s="25" t="s">
        <v>314</v>
      </c>
      <c r="C72" s="13" t="s">
        <v>3</v>
      </c>
      <c r="D72" s="49" t="s">
        <v>297</v>
      </c>
      <c r="E72" s="15" t="s">
        <v>478</v>
      </c>
      <c r="F72" s="15" t="s">
        <v>480</v>
      </c>
      <c r="G72" s="13" t="str">
        <f t="shared" si="1"/>
        <v>Keywords.Browser_ScrollTop</v>
      </c>
    </row>
    <row r="73" spans="1:7" ht="56" hidden="1" outlineLevel="2" x14ac:dyDescent="0.25">
      <c r="B73" s="25" t="s">
        <v>314</v>
      </c>
      <c r="C73" s="13" t="s">
        <v>3</v>
      </c>
      <c r="D73" s="49" t="s">
        <v>321</v>
      </c>
      <c r="E73" s="15" t="s">
        <v>481</v>
      </c>
      <c r="F73" s="15" t="s">
        <v>482</v>
      </c>
      <c r="G73" s="13" t="str">
        <f t="shared" si="1"/>
        <v>Keywords.DragAndDropElement</v>
      </c>
    </row>
    <row r="74" spans="1:7" outlineLevel="1" collapsed="1" x14ac:dyDescent="0.25">
      <c r="A74" s="54" t="s">
        <v>382</v>
      </c>
      <c r="B74" s="25">
        <f>SUBTOTAL(3,B68:B73)</f>
        <v>6</v>
      </c>
      <c r="C74" s="13"/>
      <c r="D74" s="49"/>
      <c r="E74" s="15"/>
      <c r="F74" s="15"/>
      <c r="G74" s="13"/>
    </row>
    <row r="75" spans="1:7" ht="57" hidden="1" customHeight="1" outlineLevel="2" x14ac:dyDescent="0.25">
      <c r="B75" s="15" t="s">
        <v>316</v>
      </c>
      <c r="C75" s="13" t="s">
        <v>3</v>
      </c>
      <c r="D75" s="4" t="s">
        <v>287</v>
      </c>
      <c r="E75" s="15" t="s">
        <v>484</v>
      </c>
      <c r="F75" s="15" t="s">
        <v>308</v>
      </c>
      <c r="G75" s="13" t="str">
        <f t="shared" si="1"/>
        <v>Keywords.ExportFileAndCopyToExpectedPath</v>
      </c>
    </row>
    <row r="76" spans="1:7" ht="56" hidden="1" outlineLevel="2" x14ac:dyDescent="0.25">
      <c r="B76" s="15" t="s">
        <v>316</v>
      </c>
      <c r="C76" s="13" t="s">
        <v>3</v>
      </c>
      <c r="D76" s="25" t="s">
        <v>285</v>
      </c>
      <c r="E76" s="15" t="s">
        <v>483</v>
      </c>
      <c r="F76" s="15" t="s">
        <v>286</v>
      </c>
      <c r="G76" s="13" t="str">
        <f t="shared" si="1"/>
        <v>Keywords.AutoIt_SelectFileToUpload</v>
      </c>
    </row>
    <row r="77" spans="1:7" ht="56" hidden="1" outlineLevel="2" x14ac:dyDescent="0.25">
      <c r="B77" s="15" t="s">
        <v>316</v>
      </c>
      <c r="C77" s="13" t="s">
        <v>3</v>
      </c>
      <c r="D77" s="13" t="s">
        <v>8</v>
      </c>
      <c r="E77" s="15" t="s">
        <v>485</v>
      </c>
      <c r="F77" s="15" t="s">
        <v>330</v>
      </c>
      <c r="G77" s="13" t="str">
        <f t="shared" si="1"/>
        <v>Keywords.SelectFileToUpload</v>
      </c>
    </row>
    <row r="78" spans="1:7" outlineLevel="1" collapsed="1" x14ac:dyDescent="0.25">
      <c r="A78" s="54" t="s">
        <v>383</v>
      </c>
      <c r="B78" s="15">
        <f>SUBTOTAL(3,B75:B77)</f>
        <v>3</v>
      </c>
      <c r="C78" s="13"/>
      <c r="D78" s="13"/>
      <c r="E78" s="15"/>
      <c r="F78" s="15"/>
      <c r="G78" s="13"/>
    </row>
    <row r="79" spans="1:7" ht="44.25" hidden="1" customHeight="1" outlineLevel="2" x14ac:dyDescent="0.25">
      <c r="B79" s="25" t="s">
        <v>315</v>
      </c>
      <c r="C79" s="13" t="s">
        <v>3</v>
      </c>
      <c r="D79" s="26" t="s">
        <v>291</v>
      </c>
      <c r="E79" s="15" t="s">
        <v>486</v>
      </c>
      <c r="F79" s="15" t="s">
        <v>487</v>
      </c>
      <c r="G79" s="13" t="str">
        <f t="shared" si="1"/>
        <v>Keywords.AcceptIfAlertPopup</v>
      </c>
    </row>
    <row r="80" spans="1:7" ht="42" hidden="1" outlineLevel="2" x14ac:dyDescent="0.25">
      <c r="B80" s="25" t="s">
        <v>315</v>
      </c>
      <c r="C80" s="13" t="s">
        <v>3</v>
      </c>
      <c r="D80" s="26" t="s">
        <v>292</v>
      </c>
      <c r="E80" s="15" t="s">
        <v>486</v>
      </c>
      <c r="F80" s="15" t="s">
        <v>488</v>
      </c>
      <c r="G80" s="13" t="str">
        <f t="shared" si="1"/>
        <v>Keywords.AcceptAlert</v>
      </c>
    </row>
    <row r="81" spans="1:7" ht="42" hidden="1" outlineLevel="2" x14ac:dyDescent="0.25">
      <c r="B81" s="25" t="s">
        <v>315</v>
      </c>
      <c r="C81" s="13" t="s">
        <v>3</v>
      </c>
      <c r="D81" s="26" t="s">
        <v>293</v>
      </c>
      <c r="E81" s="15" t="s">
        <v>486</v>
      </c>
      <c r="F81" s="15" t="s">
        <v>489</v>
      </c>
      <c r="G81" s="13" t="str">
        <f t="shared" si="1"/>
        <v>Keywords.DismissAlert</v>
      </c>
    </row>
    <row r="82" spans="1:7" outlineLevel="1" collapsed="1" x14ac:dyDescent="0.25">
      <c r="A82" s="54" t="s">
        <v>384</v>
      </c>
      <c r="B82" s="25">
        <f>SUBTOTAL(3,B79:B81)</f>
        <v>3</v>
      </c>
      <c r="C82" s="13"/>
      <c r="D82" s="26"/>
      <c r="E82" s="14"/>
      <c r="F82" s="15"/>
      <c r="G82" s="13"/>
    </row>
    <row r="83" spans="1:7" ht="42" hidden="1" outlineLevel="2" x14ac:dyDescent="0.25">
      <c r="B83" s="25" t="s">
        <v>318</v>
      </c>
      <c r="C83" s="13" t="s">
        <v>3</v>
      </c>
      <c r="D83" s="13" t="s">
        <v>49</v>
      </c>
      <c r="E83" s="15" t="s">
        <v>348</v>
      </c>
      <c r="F83" s="15" t="s">
        <v>329</v>
      </c>
      <c r="G83" s="13" t="str">
        <f t="shared" si="1"/>
        <v>Keywords.Input_RegExp</v>
      </c>
    </row>
    <row r="84" spans="1:7" ht="210" hidden="1" outlineLevel="2" x14ac:dyDescent="0.25">
      <c r="B84" s="25" t="s">
        <v>318</v>
      </c>
      <c r="C84" s="13" t="s">
        <v>3</v>
      </c>
      <c r="D84" s="13" t="s">
        <v>254</v>
      </c>
      <c r="E84" s="15" t="s">
        <v>284</v>
      </c>
      <c r="F84" s="15" t="s">
        <v>337</v>
      </c>
      <c r="G84" s="13" t="str">
        <f t="shared" si="1"/>
        <v>Keywords.Input_WithExcelValue</v>
      </c>
    </row>
    <row r="85" spans="1:7" ht="168" hidden="1" outlineLevel="2" x14ac:dyDescent="0.25">
      <c r="B85" s="25" t="s">
        <v>318</v>
      </c>
      <c r="C85" s="13" t="s">
        <v>3</v>
      </c>
      <c r="D85" s="25" t="s">
        <v>300</v>
      </c>
      <c r="E85" s="15" t="s">
        <v>490</v>
      </c>
      <c r="F85" s="15" t="s">
        <v>328</v>
      </c>
      <c r="G85" s="13" t="str">
        <f t="shared" si="1"/>
        <v>Keywords.InputDate</v>
      </c>
    </row>
    <row r="86" spans="1:7" ht="168" hidden="1" outlineLevel="2" x14ac:dyDescent="0.25">
      <c r="B86" s="25" t="s">
        <v>318</v>
      </c>
      <c r="C86" s="13" t="s">
        <v>3</v>
      </c>
      <c r="D86" s="25" t="s">
        <v>301</v>
      </c>
      <c r="E86" s="15" t="s">
        <v>490</v>
      </c>
      <c r="F86" s="15" t="s">
        <v>326</v>
      </c>
      <c r="G86" s="13" t="str">
        <f>"Keywords."&amp;D86</f>
        <v>Keywords.InputDate_DeleteValueFisrt</v>
      </c>
    </row>
    <row r="87" spans="1:7" ht="168" hidden="1" outlineLevel="2" x14ac:dyDescent="0.25">
      <c r="B87" s="25" t="s">
        <v>318</v>
      </c>
      <c r="C87" s="13" t="s">
        <v>3</v>
      </c>
      <c r="D87" s="25" t="s">
        <v>302</v>
      </c>
      <c r="E87" s="15" t="s">
        <v>490</v>
      </c>
      <c r="F87" s="15" t="s">
        <v>327</v>
      </c>
      <c r="G87" s="13" t="str">
        <f t="shared" si="1"/>
        <v>Keywords.InputDate_readonly</v>
      </c>
    </row>
    <row r="88" spans="1:7" outlineLevel="1" collapsed="1" x14ac:dyDescent="0.25">
      <c r="A88" s="54" t="s">
        <v>385</v>
      </c>
      <c r="B88" s="25">
        <f>SUBTOTAL(3,B83:B87)</f>
        <v>5</v>
      </c>
      <c r="C88" s="13"/>
      <c r="D88" s="25"/>
      <c r="E88" s="15"/>
      <c r="F88" s="15"/>
      <c r="G88" s="13"/>
    </row>
    <row r="89" spans="1:7" ht="70" hidden="1" outlineLevel="2" x14ac:dyDescent="0.25">
      <c r="B89" s="25" t="s">
        <v>319</v>
      </c>
      <c r="C89" s="13" t="s">
        <v>3</v>
      </c>
      <c r="D89" s="25" t="s">
        <v>303</v>
      </c>
      <c r="E89" s="15" t="s">
        <v>492</v>
      </c>
      <c r="F89" s="15" t="s">
        <v>493</v>
      </c>
      <c r="G89" s="13" t="str">
        <f t="shared" si="1"/>
        <v>Keywords.ClickAll</v>
      </c>
    </row>
    <row r="90" spans="1:7" ht="70" hidden="1" outlineLevel="2" x14ac:dyDescent="0.25">
      <c r="B90" s="25" t="s">
        <v>319</v>
      </c>
      <c r="C90" s="13" t="s">
        <v>3</v>
      </c>
      <c r="D90" s="25" t="s">
        <v>494</v>
      </c>
      <c r="E90" s="15" t="s">
        <v>495</v>
      </c>
      <c r="F90" s="15" t="s">
        <v>496</v>
      </c>
      <c r="G90" s="13" t="str">
        <f t="shared" si="1"/>
        <v>Keywords.ClickIfContains</v>
      </c>
    </row>
    <row r="91" spans="1:7" outlineLevel="1" collapsed="1" x14ac:dyDescent="0.25">
      <c r="A91" s="54" t="s">
        <v>386</v>
      </c>
      <c r="B91" s="25">
        <f>SUBTOTAL(3,B89:B90)</f>
        <v>2</v>
      </c>
      <c r="C91" s="13"/>
      <c r="D91" s="25"/>
      <c r="E91" s="15"/>
      <c r="F91" s="15"/>
      <c r="G91" s="13"/>
    </row>
    <row r="92" spans="1:7" ht="84" hidden="1" outlineLevel="2" x14ac:dyDescent="0.25">
      <c r="B92" s="15" t="s">
        <v>320</v>
      </c>
      <c r="C92" s="13" t="s">
        <v>3</v>
      </c>
      <c r="D92" s="26" t="s">
        <v>78</v>
      </c>
      <c r="E92" s="14" t="s">
        <v>112</v>
      </c>
      <c r="F92" s="15" t="s">
        <v>497</v>
      </c>
      <c r="G92" s="13" t="str">
        <f>"Keywords."&amp;D92</f>
        <v>Keywords.SelectMultipleOption</v>
      </c>
    </row>
    <row r="93" spans="1:7" ht="42" hidden="1" outlineLevel="2" x14ac:dyDescent="0.25">
      <c r="B93" s="15" t="s">
        <v>320</v>
      </c>
      <c r="C93" s="13" t="s">
        <v>3</v>
      </c>
      <c r="D93" s="4" t="s">
        <v>6</v>
      </c>
      <c r="E93" s="15" t="s">
        <v>499</v>
      </c>
      <c r="F93" s="15" t="s">
        <v>498</v>
      </c>
      <c r="G93" s="13" t="str">
        <f>"Keywords."&amp;D93</f>
        <v>Keywords.DeselectAllOptions</v>
      </c>
    </row>
    <row r="94" spans="1:7" ht="56" hidden="1" outlineLevel="2" x14ac:dyDescent="0.25">
      <c r="B94" s="15" t="s">
        <v>320</v>
      </c>
      <c r="C94" s="13" t="s">
        <v>3</v>
      </c>
      <c r="D94" s="4" t="s">
        <v>7</v>
      </c>
      <c r="E94" s="15" t="s">
        <v>500</v>
      </c>
      <c r="F94" s="15" t="s">
        <v>501</v>
      </c>
      <c r="G94" s="13" t="str">
        <f>"Keywords."&amp;D94</f>
        <v>Keywords.SelectFromQuickSearchList</v>
      </c>
    </row>
    <row r="95" spans="1:7" outlineLevel="1" collapsed="1" x14ac:dyDescent="0.25">
      <c r="A95" s="54" t="s">
        <v>387</v>
      </c>
      <c r="B95" s="15">
        <f>SUBTOTAL(3,B92:B94)</f>
        <v>3</v>
      </c>
      <c r="C95" s="13"/>
      <c r="D95" s="4"/>
      <c r="E95" s="15"/>
      <c r="F95" s="15"/>
      <c r="G95" s="13"/>
    </row>
    <row r="96" spans="1:7" ht="42" hidden="1" outlineLevel="2" x14ac:dyDescent="0.25">
      <c r="B96" s="25" t="s">
        <v>317</v>
      </c>
      <c r="C96" s="13" t="s">
        <v>24</v>
      </c>
      <c r="D96" s="25" t="s">
        <v>322</v>
      </c>
      <c r="E96" s="15" t="s">
        <v>502</v>
      </c>
      <c r="F96" s="15" t="s">
        <v>338</v>
      </c>
      <c r="G96" s="13" t="str">
        <f t="shared" ref="G96:G101" si="2">"Keywords."&amp;D96</f>
        <v>Keywords.DB_Connecton</v>
      </c>
    </row>
    <row r="97" spans="1:7" ht="42" hidden="1" outlineLevel="2" x14ac:dyDescent="0.25">
      <c r="B97" s="25" t="s">
        <v>317</v>
      </c>
      <c r="C97" s="13" t="s">
        <v>24</v>
      </c>
      <c r="D97" s="13" t="s">
        <v>25</v>
      </c>
      <c r="E97" s="15" t="s">
        <v>504</v>
      </c>
      <c r="F97" s="15" t="s">
        <v>339</v>
      </c>
      <c r="G97" s="13" t="str">
        <f t="shared" si="2"/>
        <v>Keywords.DB_RunSQL</v>
      </c>
    </row>
    <row r="98" spans="1:7" ht="56" hidden="1" outlineLevel="2" x14ac:dyDescent="0.25">
      <c r="B98" s="25" t="s">
        <v>317</v>
      </c>
      <c r="C98" s="13" t="s">
        <v>24</v>
      </c>
      <c r="D98" s="13" t="s">
        <v>26</v>
      </c>
      <c r="E98" s="15" t="s">
        <v>558</v>
      </c>
      <c r="F98" s="15" t="s">
        <v>340</v>
      </c>
      <c r="G98" s="13" t="str">
        <f t="shared" si="2"/>
        <v>Keywords.DB_RunSQL_Query</v>
      </c>
    </row>
    <row r="99" spans="1:7" ht="56" hidden="1" outlineLevel="2" x14ac:dyDescent="0.25">
      <c r="B99" s="25" t="s">
        <v>317</v>
      </c>
      <c r="C99" s="13" t="s">
        <v>24</v>
      </c>
      <c r="D99" s="13" t="s">
        <v>27</v>
      </c>
      <c r="E99" s="15" t="s">
        <v>505</v>
      </c>
      <c r="F99" s="15" t="s">
        <v>341</v>
      </c>
      <c r="G99" s="13" t="str">
        <f t="shared" si="2"/>
        <v>Keywords.DB_RunSQL_Update</v>
      </c>
    </row>
    <row r="100" spans="1:7" ht="42" hidden="1" outlineLevel="2" x14ac:dyDescent="0.25">
      <c r="B100" s="25" t="s">
        <v>317</v>
      </c>
      <c r="C100" s="13" t="s">
        <v>24</v>
      </c>
      <c r="D100" s="13" t="s">
        <v>28</v>
      </c>
      <c r="E100" s="15" t="s">
        <v>503</v>
      </c>
      <c r="F100" s="15" t="s">
        <v>342</v>
      </c>
      <c r="G100" s="13" t="str">
        <f t="shared" si="2"/>
        <v>Keywords.DB_CloseConnection</v>
      </c>
    </row>
    <row r="101" spans="1:7" ht="56" hidden="1" outlineLevel="2" x14ac:dyDescent="0.25">
      <c r="B101" s="25" t="s">
        <v>317</v>
      </c>
      <c r="C101" s="13" t="s">
        <v>24</v>
      </c>
      <c r="D101" s="13" t="s">
        <v>29</v>
      </c>
      <c r="E101" s="15" t="s">
        <v>506</v>
      </c>
      <c r="F101" s="15" t="s">
        <v>343</v>
      </c>
      <c r="G101" s="13" t="str">
        <f t="shared" si="2"/>
        <v>Keywords.DB_runSQLfile</v>
      </c>
    </row>
    <row r="102" spans="1:7" outlineLevel="1" collapsed="1" x14ac:dyDescent="0.25">
      <c r="A102" s="54" t="s">
        <v>388</v>
      </c>
      <c r="B102" s="25">
        <f>SUBTOTAL(3,B96:B101)</f>
        <v>6</v>
      </c>
      <c r="C102" s="13"/>
      <c r="D102" s="13"/>
      <c r="E102" s="14"/>
      <c r="F102" s="15"/>
      <c r="G102" s="13"/>
    </row>
    <row r="103" spans="1:7" hidden="1" outlineLevel="2" x14ac:dyDescent="0.25">
      <c r="B103" s="55" t="s">
        <v>390</v>
      </c>
      <c r="C103" s="13"/>
      <c r="D103" s="13"/>
      <c r="E103" s="13"/>
      <c r="F103" s="14"/>
      <c r="G103" s="13"/>
    </row>
    <row r="104" spans="1:7" hidden="1" outlineLevel="2" x14ac:dyDescent="0.25">
      <c r="B104" s="55" t="s">
        <v>390</v>
      </c>
      <c r="C104" s="13"/>
      <c r="D104" s="13"/>
      <c r="E104" s="13"/>
      <c r="F104" s="14"/>
      <c r="G104" s="13"/>
    </row>
    <row r="105" spans="1:7" outlineLevel="1" collapsed="1" x14ac:dyDescent="0.25">
      <c r="A105" s="54" t="s">
        <v>391</v>
      </c>
      <c r="B105" s="56">
        <f>SUBTOTAL(3,B103:B104)</f>
        <v>2</v>
      </c>
      <c r="C105" s="52"/>
      <c r="D105" s="52"/>
      <c r="E105" s="52"/>
      <c r="F105" s="53"/>
      <c r="G105" s="52"/>
    </row>
    <row r="106" spans="1:7" x14ac:dyDescent="0.25">
      <c r="A106" s="54" t="s">
        <v>389</v>
      </c>
      <c r="B106" s="56">
        <f>SUBTOTAL(3,B2:B104)</f>
        <v>88</v>
      </c>
      <c r="C106" s="52"/>
      <c r="D106" s="52"/>
      <c r="E106" s="52"/>
      <c r="F106" s="53"/>
      <c r="G106" s="52"/>
    </row>
    <row r="122" spans="5:5" x14ac:dyDescent="0.25">
      <c r="E122" s="91"/>
    </row>
  </sheetData>
  <phoneticPr fontId="8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C00000"/>
  </sheetPr>
  <dimension ref="A1:F513"/>
  <sheetViews>
    <sheetView zoomScaleNormal="100" workbookViewId="0">
      <pane ySplit="2" topLeftCell="A57" activePane="bottomLeft" state="frozen"/>
      <selection pane="bottomLeft" activeCell="A62" sqref="A62:B62"/>
    </sheetView>
  </sheetViews>
  <sheetFormatPr defaultColWidth="8.7265625" defaultRowHeight="14" x14ac:dyDescent="0.25"/>
  <cols>
    <col min="1" max="1" width="30.453125" style="1" customWidth="1"/>
    <col min="2" max="2" width="25.6328125" style="1" customWidth="1"/>
    <col min="3" max="3" width="56.26953125" style="1" customWidth="1"/>
    <col min="4" max="4" width="11.6328125" style="1" customWidth="1"/>
    <col min="5" max="5" width="15.90625" style="7" customWidth="1"/>
    <col min="6" max="6" width="16.6328125" style="1" customWidth="1"/>
    <col min="7" max="16384" width="8.7265625" style="1"/>
  </cols>
  <sheetData>
    <row r="1" spans="1:6" ht="56" x14ac:dyDescent="0.25">
      <c r="A1" s="5"/>
      <c r="B1" s="8" t="s">
        <v>953</v>
      </c>
      <c r="C1" s="64" t="s">
        <v>557</v>
      </c>
      <c r="D1" s="22" t="s">
        <v>109</v>
      </c>
      <c r="E1" s="9" t="s">
        <v>30</v>
      </c>
      <c r="F1" s="10" t="s">
        <v>31</v>
      </c>
    </row>
    <row r="2" spans="1:6" ht="56" x14ac:dyDescent="0.25">
      <c r="A2" s="23" t="s">
        <v>120</v>
      </c>
      <c r="B2" s="23" t="s">
        <v>33</v>
      </c>
      <c r="C2" s="23" t="s">
        <v>34</v>
      </c>
      <c r="D2" s="24" t="s">
        <v>108</v>
      </c>
    </row>
    <row r="3" spans="1:6" ht="30" customHeight="1" x14ac:dyDescent="0.25">
      <c r="A3" s="42" t="s">
        <v>549</v>
      </c>
      <c r="B3" s="42" t="s">
        <v>550</v>
      </c>
      <c r="C3" s="11" t="s">
        <v>662</v>
      </c>
      <c r="D3" s="5" t="s">
        <v>553</v>
      </c>
      <c r="E3" s="19"/>
    </row>
    <row r="4" spans="1:6" ht="30" customHeight="1" x14ac:dyDescent="0.25">
      <c r="A4" s="42" t="s">
        <v>551</v>
      </c>
      <c r="B4" s="42" t="s">
        <v>552</v>
      </c>
      <c r="C4" s="11" t="s">
        <v>661</v>
      </c>
      <c r="D4" s="5" t="s">
        <v>553</v>
      </c>
      <c r="E4" s="19"/>
    </row>
    <row r="5" spans="1:6" ht="30" customHeight="1" x14ac:dyDescent="0.25">
      <c r="A5" s="42" t="s">
        <v>551</v>
      </c>
      <c r="B5" s="42" t="s">
        <v>554</v>
      </c>
      <c r="C5" s="11" t="s">
        <v>565</v>
      </c>
      <c r="D5" s="5" t="s">
        <v>553</v>
      </c>
      <c r="E5" s="19"/>
    </row>
    <row r="6" spans="1:6" ht="30" customHeight="1" x14ac:dyDescent="0.25">
      <c r="A6" s="42"/>
      <c r="B6" s="42"/>
      <c r="C6" s="11"/>
      <c r="D6" s="5"/>
      <c r="E6" s="19"/>
    </row>
    <row r="7" spans="1:6" ht="30" customHeight="1" x14ac:dyDescent="0.25">
      <c r="A7" s="42" t="s">
        <v>564</v>
      </c>
      <c r="B7" s="42" t="s">
        <v>573</v>
      </c>
      <c r="C7" s="21" t="s">
        <v>669</v>
      </c>
      <c r="D7" s="5" t="s">
        <v>553</v>
      </c>
      <c r="E7" s="19"/>
    </row>
    <row r="8" spans="1:6" ht="30" customHeight="1" x14ac:dyDescent="0.25">
      <c r="A8" s="42" t="s">
        <v>564</v>
      </c>
      <c r="B8" s="42" t="s">
        <v>574</v>
      </c>
      <c r="C8" s="11" t="s">
        <v>804</v>
      </c>
      <c r="D8" s="5" t="s">
        <v>35</v>
      </c>
      <c r="E8" s="19"/>
    </row>
    <row r="9" spans="1:6" ht="30" customHeight="1" x14ac:dyDescent="0.25">
      <c r="A9" s="42" t="s">
        <v>564</v>
      </c>
      <c r="B9" s="42" t="s">
        <v>611</v>
      </c>
      <c r="C9" s="11" t="s">
        <v>668</v>
      </c>
      <c r="D9" s="5" t="s">
        <v>553</v>
      </c>
      <c r="E9" s="19"/>
    </row>
    <row r="10" spans="1:6" ht="30" customHeight="1" x14ac:dyDescent="0.25">
      <c r="A10" s="42" t="s">
        <v>564</v>
      </c>
      <c r="B10" s="42" t="s">
        <v>612</v>
      </c>
      <c r="C10" s="11" t="s">
        <v>658</v>
      </c>
      <c r="D10" s="5" t="s">
        <v>553</v>
      </c>
      <c r="E10" s="19"/>
    </row>
    <row r="11" spans="1:6" ht="30" customHeight="1" x14ac:dyDescent="0.25">
      <c r="A11" s="42" t="s">
        <v>564</v>
      </c>
      <c r="B11" s="42" t="s">
        <v>819</v>
      </c>
      <c r="C11" s="11" t="s">
        <v>820</v>
      </c>
      <c r="D11" s="5" t="s">
        <v>553</v>
      </c>
      <c r="E11" s="19"/>
    </row>
    <row r="12" spans="1:6" ht="30" customHeight="1" x14ac:dyDescent="0.25">
      <c r="A12" s="42" t="s">
        <v>564</v>
      </c>
      <c r="B12" s="42" t="s">
        <v>575</v>
      </c>
      <c r="C12" s="11" t="s">
        <v>659</v>
      </c>
      <c r="D12" s="5" t="s">
        <v>553</v>
      </c>
      <c r="E12" s="19"/>
    </row>
    <row r="13" spans="1:6" ht="30" customHeight="1" x14ac:dyDescent="0.25">
      <c r="A13" s="42" t="s">
        <v>564</v>
      </c>
      <c r="B13" s="42" t="s">
        <v>579</v>
      </c>
      <c r="C13" s="11" t="s">
        <v>660</v>
      </c>
      <c r="D13" s="5" t="s">
        <v>553</v>
      </c>
      <c r="E13" s="19"/>
    </row>
    <row r="14" spans="1:6" ht="30" customHeight="1" x14ac:dyDescent="0.25">
      <c r="A14" s="42" t="s">
        <v>564</v>
      </c>
      <c r="B14" s="42" t="s">
        <v>577</v>
      </c>
      <c r="C14" s="11" t="s">
        <v>576</v>
      </c>
      <c r="D14" s="5" t="s">
        <v>553</v>
      </c>
      <c r="E14" s="19"/>
    </row>
    <row r="15" spans="1:6" ht="30" customHeight="1" x14ac:dyDescent="0.25">
      <c r="A15" s="42" t="s">
        <v>564</v>
      </c>
      <c r="B15" s="42" t="s">
        <v>582</v>
      </c>
      <c r="C15" s="11" t="s">
        <v>663</v>
      </c>
      <c r="D15" s="5" t="s">
        <v>553</v>
      </c>
      <c r="E15" s="19"/>
    </row>
    <row r="16" spans="1:6" ht="30" customHeight="1" x14ac:dyDescent="0.25">
      <c r="A16" s="42" t="s">
        <v>564</v>
      </c>
      <c r="B16" s="42" t="s">
        <v>585</v>
      </c>
      <c r="C16" s="11" t="s">
        <v>667</v>
      </c>
      <c r="D16" s="5" t="s">
        <v>553</v>
      </c>
      <c r="E16" s="19"/>
    </row>
    <row r="17" spans="1:5" ht="30" customHeight="1" x14ac:dyDescent="0.25">
      <c r="A17" s="42" t="s">
        <v>564</v>
      </c>
      <c r="B17" s="42" t="s">
        <v>586</v>
      </c>
      <c r="C17" s="11" t="s">
        <v>664</v>
      </c>
      <c r="D17" s="5" t="s">
        <v>553</v>
      </c>
      <c r="E17" s="19"/>
    </row>
    <row r="18" spans="1:5" ht="30" customHeight="1" x14ac:dyDescent="0.25">
      <c r="A18" s="42"/>
      <c r="B18" s="42"/>
      <c r="C18" s="11"/>
      <c r="D18" s="5"/>
      <c r="E18" s="19"/>
    </row>
    <row r="19" spans="1:5" ht="30" customHeight="1" x14ac:dyDescent="0.25">
      <c r="A19" s="42" t="s">
        <v>587</v>
      </c>
      <c r="B19" s="95" t="s">
        <v>588</v>
      </c>
      <c r="C19" s="11" t="s">
        <v>589</v>
      </c>
      <c r="D19" s="5" t="s">
        <v>553</v>
      </c>
      <c r="E19" s="19"/>
    </row>
    <row r="20" spans="1:5" ht="30" customHeight="1" x14ac:dyDescent="0.25">
      <c r="A20" s="42" t="s">
        <v>587</v>
      </c>
      <c r="B20" s="95" t="s">
        <v>590</v>
      </c>
      <c r="C20" s="11" t="s">
        <v>809</v>
      </c>
      <c r="D20" s="5" t="s">
        <v>35</v>
      </c>
      <c r="E20" s="19"/>
    </row>
    <row r="21" spans="1:5" ht="30" customHeight="1" x14ac:dyDescent="0.25">
      <c r="A21" s="42" t="s">
        <v>587</v>
      </c>
      <c r="B21" s="95" t="s">
        <v>591</v>
      </c>
      <c r="C21" s="11" t="s">
        <v>805</v>
      </c>
      <c r="D21" s="5" t="s">
        <v>35</v>
      </c>
      <c r="E21" s="19"/>
    </row>
    <row r="22" spans="1:5" ht="30" customHeight="1" x14ac:dyDescent="0.25">
      <c r="A22" s="42" t="s">
        <v>587</v>
      </c>
      <c r="B22" s="95" t="s">
        <v>592</v>
      </c>
      <c r="C22" s="11" t="s">
        <v>810</v>
      </c>
      <c r="D22" s="5" t="s">
        <v>35</v>
      </c>
      <c r="E22" s="19"/>
    </row>
    <row r="23" spans="1:5" ht="30" customHeight="1" x14ac:dyDescent="0.25">
      <c r="A23" s="42" t="s">
        <v>587</v>
      </c>
      <c r="B23" s="95" t="s">
        <v>593</v>
      </c>
      <c r="C23" s="11" t="s">
        <v>811</v>
      </c>
      <c r="D23" s="5" t="s">
        <v>35</v>
      </c>
      <c r="E23" s="19"/>
    </row>
    <row r="24" spans="1:5" ht="30" customHeight="1" x14ac:dyDescent="0.25">
      <c r="A24" s="42" t="s">
        <v>587</v>
      </c>
      <c r="B24" s="95" t="s">
        <v>596</v>
      </c>
      <c r="C24" s="11" t="s">
        <v>602</v>
      </c>
      <c r="D24" s="5" t="s">
        <v>553</v>
      </c>
      <c r="E24" s="19"/>
    </row>
    <row r="25" spans="1:5" ht="30" customHeight="1" x14ac:dyDescent="0.25">
      <c r="A25" s="42" t="s">
        <v>587</v>
      </c>
      <c r="B25" s="95" t="s">
        <v>598</v>
      </c>
      <c r="C25" s="11" t="s">
        <v>743</v>
      </c>
      <c r="D25" s="5" t="s">
        <v>35</v>
      </c>
      <c r="E25" s="19"/>
    </row>
    <row r="26" spans="1:5" ht="30" customHeight="1" x14ac:dyDescent="0.25">
      <c r="A26" s="42" t="s">
        <v>587</v>
      </c>
      <c r="B26" s="95" t="s">
        <v>834</v>
      </c>
      <c r="C26" s="11" t="s">
        <v>835</v>
      </c>
      <c r="D26" s="5" t="s">
        <v>553</v>
      </c>
      <c r="E26" s="19"/>
    </row>
    <row r="27" spans="1:5" ht="30" customHeight="1" x14ac:dyDescent="0.25">
      <c r="A27" s="42" t="s">
        <v>587</v>
      </c>
      <c r="B27" s="95" t="s">
        <v>600</v>
      </c>
      <c r="C27" s="11" t="s">
        <v>599</v>
      </c>
      <c r="D27" s="5" t="s">
        <v>553</v>
      </c>
      <c r="E27" s="19"/>
    </row>
    <row r="28" spans="1:5" ht="30" customHeight="1" x14ac:dyDescent="0.25">
      <c r="A28" s="42" t="s">
        <v>587</v>
      </c>
      <c r="B28" s="95" t="s">
        <v>730</v>
      </c>
      <c r="C28" s="11" t="s">
        <v>774</v>
      </c>
      <c r="D28" s="5" t="s">
        <v>35</v>
      </c>
      <c r="E28" s="19"/>
    </row>
    <row r="29" spans="1:5" ht="30" customHeight="1" x14ac:dyDescent="0.25">
      <c r="A29" s="42" t="s">
        <v>587</v>
      </c>
      <c r="B29" s="95" t="s">
        <v>733</v>
      </c>
      <c r="C29" s="11" t="s">
        <v>731</v>
      </c>
      <c r="D29" s="5" t="s">
        <v>35</v>
      </c>
      <c r="E29" s="19"/>
    </row>
    <row r="30" spans="1:5" ht="30" customHeight="1" x14ac:dyDescent="0.25">
      <c r="A30" s="42" t="s">
        <v>587</v>
      </c>
      <c r="B30" s="95" t="s">
        <v>732</v>
      </c>
      <c r="C30" s="11" t="s">
        <v>808</v>
      </c>
      <c r="D30" s="5" t="s">
        <v>35</v>
      </c>
      <c r="E30" s="19"/>
    </row>
    <row r="31" spans="1:5" ht="30" customHeight="1" x14ac:dyDescent="0.25">
      <c r="A31" s="42" t="s">
        <v>587</v>
      </c>
      <c r="B31" s="116" t="s">
        <v>740</v>
      </c>
      <c r="C31" s="11" t="s">
        <v>738</v>
      </c>
      <c r="D31" s="5" t="s">
        <v>553</v>
      </c>
      <c r="E31" s="19"/>
    </row>
    <row r="32" spans="1:5" ht="30" customHeight="1" x14ac:dyDescent="0.25">
      <c r="A32" s="42" t="s">
        <v>587</v>
      </c>
      <c r="B32" s="116" t="s">
        <v>741</v>
      </c>
      <c r="C32" s="11" t="s">
        <v>739</v>
      </c>
      <c r="D32" s="5" t="s">
        <v>35</v>
      </c>
      <c r="E32" s="19"/>
    </row>
    <row r="33" spans="1:5" ht="30" customHeight="1" x14ac:dyDescent="0.25">
      <c r="A33" s="42" t="s">
        <v>587</v>
      </c>
      <c r="B33" s="95" t="s">
        <v>749</v>
      </c>
      <c r="C33" s="11" t="s">
        <v>748</v>
      </c>
      <c r="D33" s="5" t="s">
        <v>35</v>
      </c>
      <c r="E33" s="19"/>
    </row>
    <row r="34" spans="1:5" ht="30" customHeight="1" x14ac:dyDescent="0.25">
      <c r="A34" s="42" t="s">
        <v>587</v>
      </c>
      <c r="B34" s="95" t="s">
        <v>750</v>
      </c>
      <c r="C34" s="11" t="s">
        <v>760</v>
      </c>
      <c r="D34" s="5" t="s">
        <v>35</v>
      </c>
      <c r="E34" s="19"/>
    </row>
    <row r="35" spans="1:5" ht="30" customHeight="1" x14ac:dyDescent="0.25">
      <c r="A35" s="42" t="s">
        <v>587</v>
      </c>
      <c r="B35" s="95" t="s">
        <v>759</v>
      </c>
      <c r="C35" s="11" t="s">
        <v>761</v>
      </c>
      <c r="D35" s="5" t="s">
        <v>35</v>
      </c>
      <c r="E35" s="19"/>
    </row>
    <row r="36" spans="1:5" ht="42" x14ac:dyDescent="0.25">
      <c r="A36" s="42" t="s">
        <v>587</v>
      </c>
      <c r="B36" s="95" t="s">
        <v>757</v>
      </c>
      <c r="C36" s="11" t="s">
        <v>762</v>
      </c>
      <c r="D36" s="5" t="s">
        <v>35</v>
      </c>
      <c r="E36" s="19"/>
    </row>
    <row r="37" spans="1:5" ht="30" customHeight="1" x14ac:dyDescent="0.25">
      <c r="A37" s="42" t="s">
        <v>587</v>
      </c>
      <c r="B37" s="95" t="s">
        <v>763</v>
      </c>
      <c r="C37" s="11" t="s">
        <v>857</v>
      </c>
      <c r="D37" s="5" t="s">
        <v>35</v>
      </c>
      <c r="E37" s="19"/>
    </row>
    <row r="38" spans="1:5" ht="30" customHeight="1" x14ac:dyDescent="0.25">
      <c r="A38" s="42" t="s">
        <v>587</v>
      </c>
      <c r="B38" s="95" t="s">
        <v>768</v>
      </c>
      <c r="C38" s="11" t="s">
        <v>769</v>
      </c>
      <c r="D38" s="5" t="s">
        <v>35</v>
      </c>
      <c r="E38" s="19"/>
    </row>
    <row r="39" spans="1:5" ht="30" customHeight="1" x14ac:dyDescent="0.25">
      <c r="A39" s="42" t="s">
        <v>587</v>
      </c>
      <c r="B39" s="95" t="s">
        <v>786</v>
      </c>
      <c r="C39" s="11" t="s">
        <v>777</v>
      </c>
      <c r="D39" s="5" t="s">
        <v>35</v>
      </c>
      <c r="E39" s="19"/>
    </row>
    <row r="40" spans="1:5" ht="30" customHeight="1" x14ac:dyDescent="0.25">
      <c r="A40" s="42" t="s">
        <v>587</v>
      </c>
      <c r="B40" s="95" t="s">
        <v>785</v>
      </c>
      <c r="C40" s="11" t="s">
        <v>787</v>
      </c>
      <c r="D40" s="5" t="s">
        <v>553</v>
      </c>
      <c r="E40" s="19"/>
    </row>
    <row r="41" spans="1:5" ht="30" customHeight="1" x14ac:dyDescent="0.25">
      <c r="A41" s="42" t="s">
        <v>587</v>
      </c>
      <c r="B41" s="95" t="s">
        <v>788</v>
      </c>
      <c r="C41" s="11" t="s">
        <v>789</v>
      </c>
      <c r="D41" s="5" t="s">
        <v>35</v>
      </c>
      <c r="E41" s="19"/>
    </row>
    <row r="42" spans="1:5" ht="30" customHeight="1" x14ac:dyDescent="0.25">
      <c r="A42" s="42" t="s">
        <v>587</v>
      </c>
      <c r="B42" s="95" t="s">
        <v>840</v>
      </c>
      <c r="C42" s="11" t="s">
        <v>839</v>
      </c>
      <c r="D42" s="5" t="s">
        <v>553</v>
      </c>
      <c r="E42" s="19"/>
    </row>
    <row r="43" spans="1:5" ht="30" customHeight="1" x14ac:dyDescent="0.25">
      <c r="A43" s="42" t="s">
        <v>587</v>
      </c>
      <c r="B43" s="95" t="s">
        <v>798</v>
      </c>
      <c r="C43" s="11" t="s">
        <v>836</v>
      </c>
      <c r="D43" s="5" t="s">
        <v>553</v>
      </c>
      <c r="E43" s="19"/>
    </row>
    <row r="44" spans="1:5" ht="30" customHeight="1" x14ac:dyDescent="0.25">
      <c r="A44" s="42" t="s">
        <v>587</v>
      </c>
      <c r="B44" s="95" t="s">
        <v>792</v>
      </c>
      <c r="C44" s="11" t="s">
        <v>797</v>
      </c>
      <c r="D44" s="5" t="s">
        <v>553</v>
      </c>
      <c r="E44" s="19"/>
    </row>
    <row r="45" spans="1:5" ht="30" customHeight="1" x14ac:dyDescent="0.25">
      <c r="A45" s="42" t="s">
        <v>587</v>
      </c>
      <c r="B45" s="95" t="s">
        <v>802</v>
      </c>
      <c r="C45" s="11" t="s">
        <v>691</v>
      </c>
      <c r="D45" s="5" t="s">
        <v>35</v>
      </c>
      <c r="E45" s="19"/>
    </row>
    <row r="46" spans="1:5" ht="30" customHeight="1" x14ac:dyDescent="0.25">
      <c r="A46" s="42" t="s">
        <v>587</v>
      </c>
      <c r="B46" s="95" t="s">
        <v>847</v>
      </c>
      <c r="C46" s="11" t="s">
        <v>846</v>
      </c>
      <c r="D46" s="5" t="s">
        <v>35</v>
      </c>
      <c r="E46" s="19"/>
    </row>
    <row r="47" spans="1:5" ht="30" customHeight="1" x14ac:dyDescent="0.25">
      <c r="A47" s="42" t="s">
        <v>587</v>
      </c>
      <c r="B47" s="95" t="s">
        <v>929</v>
      </c>
      <c r="C47" s="11" t="s">
        <v>928</v>
      </c>
      <c r="D47" s="5" t="s">
        <v>35</v>
      </c>
      <c r="E47" s="19"/>
    </row>
    <row r="48" spans="1:5" ht="30" customHeight="1" x14ac:dyDescent="0.25">
      <c r="A48" s="42" t="s">
        <v>587</v>
      </c>
      <c r="B48" s="95" t="s">
        <v>849</v>
      </c>
      <c r="C48" s="11" t="s">
        <v>851</v>
      </c>
      <c r="D48" s="5" t="s">
        <v>553</v>
      </c>
      <c r="E48" s="19"/>
    </row>
    <row r="49" spans="1:5" ht="30" customHeight="1" x14ac:dyDescent="0.25">
      <c r="A49" s="42" t="s">
        <v>587</v>
      </c>
      <c r="B49" s="95" t="s">
        <v>856</v>
      </c>
      <c r="C49" s="11" t="s">
        <v>855</v>
      </c>
      <c r="D49" s="5" t="s">
        <v>35</v>
      </c>
      <c r="E49" s="19"/>
    </row>
    <row r="50" spans="1:5" ht="30" customHeight="1" x14ac:dyDescent="0.25">
      <c r="A50" s="42" t="s">
        <v>587</v>
      </c>
      <c r="B50" s="95" t="s">
        <v>924</v>
      </c>
      <c r="C50" s="11" t="s">
        <v>925</v>
      </c>
      <c r="D50" s="5" t="s">
        <v>35</v>
      </c>
      <c r="E50" s="19"/>
    </row>
    <row r="51" spans="1:5" ht="30" customHeight="1" x14ac:dyDescent="0.25">
      <c r="A51" s="42" t="s">
        <v>587</v>
      </c>
      <c r="B51" s="95" t="s">
        <v>932</v>
      </c>
      <c r="C51" s="11" t="s">
        <v>931</v>
      </c>
      <c r="D51" s="5" t="s">
        <v>553</v>
      </c>
      <c r="E51" s="19"/>
    </row>
    <row r="52" spans="1:5" ht="30" customHeight="1" x14ac:dyDescent="0.25">
      <c r="A52" s="42" t="s">
        <v>587</v>
      </c>
      <c r="B52" s="95" t="s">
        <v>937</v>
      </c>
      <c r="C52" s="11" t="s">
        <v>945</v>
      </c>
      <c r="D52" s="5" t="s">
        <v>553</v>
      </c>
      <c r="E52" s="19"/>
    </row>
    <row r="53" spans="1:5" ht="30" customHeight="1" x14ac:dyDescent="0.25">
      <c r="A53" s="42" t="s">
        <v>587</v>
      </c>
      <c r="B53" s="95" t="s">
        <v>1003</v>
      </c>
      <c r="C53" s="11" t="s">
        <v>941</v>
      </c>
      <c r="D53" s="5" t="s">
        <v>553</v>
      </c>
      <c r="E53" s="19"/>
    </row>
    <row r="54" spans="1:5" ht="30" customHeight="1" x14ac:dyDescent="0.25">
      <c r="A54" s="42" t="s">
        <v>587</v>
      </c>
      <c r="B54" s="95" t="s">
        <v>1004</v>
      </c>
      <c r="C54" s="11" t="s">
        <v>942</v>
      </c>
      <c r="D54" s="5" t="s">
        <v>35</v>
      </c>
      <c r="E54" s="19"/>
    </row>
    <row r="55" spans="1:5" ht="30" customHeight="1" x14ac:dyDescent="0.25">
      <c r="A55" s="42" t="s">
        <v>587</v>
      </c>
      <c r="B55" s="95" t="s">
        <v>901</v>
      </c>
      <c r="C55" s="11" t="s">
        <v>975</v>
      </c>
      <c r="D55" s="5" t="s">
        <v>553</v>
      </c>
      <c r="E55" s="19"/>
    </row>
    <row r="56" spans="1:5" ht="30" customHeight="1" x14ac:dyDescent="0.25">
      <c r="A56" s="42" t="s">
        <v>587</v>
      </c>
      <c r="B56" s="95" t="s">
        <v>1002</v>
      </c>
      <c r="C56" s="11" t="s">
        <v>1001</v>
      </c>
      <c r="D56" s="5" t="s">
        <v>553</v>
      </c>
      <c r="E56" s="19"/>
    </row>
    <row r="57" spans="1:5" ht="30" customHeight="1" x14ac:dyDescent="0.25">
      <c r="A57" s="42" t="s">
        <v>587</v>
      </c>
      <c r="B57" s="95" t="s">
        <v>1027</v>
      </c>
      <c r="C57" s="11" t="s">
        <v>1026</v>
      </c>
      <c r="D57" s="5" t="s">
        <v>553</v>
      </c>
      <c r="E57" s="19"/>
    </row>
    <row r="58" spans="1:5" ht="30" customHeight="1" x14ac:dyDescent="0.25">
      <c r="A58" s="42" t="s">
        <v>587</v>
      </c>
      <c r="B58" s="95" t="s">
        <v>1035</v>
      </c>
      <c r="C58" s="11" t="s">
        <v>1034</v>
      </c>
      <c r="D58" s="5" t="s">
        <v>553</v>
      </c>
      <c r="E58" s="19"/>
    </row>
    <row r="59" spans="1:5" ht="30" customHeight="1" x14ac:dyDescent="0.25">
      <c r="A59" s="42" t="s">
        <v>587</v>
      </c>
      <c r="B59" s="116" t="s">
        <v>1039</v>
      </c>
      <c r="C59" s="11" t="s">
        <v>1038</v>
      </c>
      <c r="D59" s="5" t="s">
        <v>553</v>
      </c>
      <c r="E59" s="19"/>
    </row>
    <row r="60" spans="1:5" ht="30" customHeight="1" x14ac:dyDescent="0.25">
      <c r="A60" s="42" t="s">
        <v>587</v>
      </c>
      <c r="B60" s="116" t="s">
        <v>1040</v>
      </c>
      <c r="C60" s="11" t="s">
        <v>1041</v>
      </c>
      <c r="D60" s="5" t="s">
        <v>553</v>
      </c>
      <c r="E60" s="19"/>
    </row>
    <row r="61" spans="1:5" ht="30" customHeight="1" x14ac:dyDescent="0.25">
      <c r="A61" s="42" t="s">
        <v>587</v>
      </c>
      <c r="B61" s="95" t="s">
        <v>1031</v>
      </c>
      <c r="C61" s="11" t="s">
        <v>1042</v>
      </c>
      <c r="D61" s="5" t="s">
        <v>553</v>
      </c>
      <c r="E61" s="19"/>
    </row>
    <row r="62" spans="1:5" ht="30" customHeight="1" x14ac:dyDescent="0.25">
      <c r="A62" s="42" t="s">
        <v>587</v>
      </c>
      <c r="B62" s="95" t="s">
        <v>1049</v>
      </c>
      <c r="C62" s="11" t="s">
        <v>1048</v>
      </c>
      <c r="D62" s="5" t="s">
        <v>553</v>
      </c>
      <c r="E62" s="19"/>
    </row>
    <row r="63" spans="1:5" ht="30" customHeight="1" x14ac:dyDescent="0.25">
      <c r="A63" s="42"/>
      <c r="B63" s="95"/>
      <c r="C63" s="11"/>
      <c r="D63" s="5"/>
      <c r="E63" s="19"/>
    </row>
    <row r="64" spans="1:5" ht="30" customHeight="1" x14ac:dyDescent="0.25">
      <c r="A64" s="42"/>
      <c r="B64" s="95"/>
      <c r="C64" s="11"/>
      <c r="D64" s="5"/>
      <c r="E64" s="19"/>
    </row>
    <row r="65" spans="1:5" ht="30" customHeight="1" x14ac:dyDescent="0.25">
      <c r="A65" s="42"/>
      <c r="B65" s="95"/>
      <c r="C65" s="11"/>
      <c r="D65" s="5"/>
      <c r="E65" s="19"/>
    </row>
    <row r="66" spans="1:5" ht="30" customHeight="1" x14ac:dyDescent="0.25">
      <c r="A66" s="42"/>
      <c r="B66" s="95"/>
      <c r="C66" s="11"/>
      <c r="D66" s="5"/>
      <c r="E66" s="19"/>
    </row>
    <row r="67" spans="1:5" ht="30" customHeight="1" x14ac:dyDescent="0.25">
      <c r="A67" s="42"/>
      <c r="B67" s="95"/>
      <c r="C67" s="11"/>
      <c r="D67" s="5"/>
      <c r="E67" s="19"/>
    </row>
    <row r="68" spans="1:5" ht="30" customHeight="1" x14ac:dyDescent="0.25">
      <c r="A68" s="42"/>
      <c r="B68" s="95"/>
      <c r="C68" s="11"/>
      <c r="D68" s="5"/>
      <c r="E68" s="19"/>
    </row>
    <row r="69" spans="1:5" ht="30" customHeight="1" x14ac:dyDescent="0.25">
      <c r="A69" s="42"/>
      <c r="B69" s="95"/>
      <c r="C69" s="11"/>
      <c r="D69" s="5"/>
      <c r="E69" s="19"/>
    </row>
    <row r="70" spans="1:5" ht="30" customHeight="1" x14ac:dyDescent="0.25">
      <c r="A70" s="42"/>
      <c r="B70" s="95"/>
      <c r="C70" s="11"/>
      <c r="D70" s="5"/>
      <c r="E70" s="19"/>
    </row>
    <row r="71" spans="1:5" ht="30" customHeight="1" x14ac:dyDescent="0.25">
      <c r="A71" s="42"/>
      <c r="B71" s="95"/>
      <c r="C71" s="11"/>
      <c r="D71" s="5"/>
      <c r="E71" s="19"/>
    </row>
    <row r="72" spans="1:5" ht="30" customHeight="1" x14ac:dyDescent="0.25">
      <c r="A72" s="42"/>
      <c r="B72" s="95"/>
      <c r="C72" s="11"/>
      <c r="D72" s="5"/>
      <c r="E72" s="19"/>
    </row>
    <row r="73" spans="1:5" ht="30" customHeight="1" x14ac:dyDescent="0.25">
      <c r="A73" s="42"/>
      <c r="B73" s="95"/>
      <c r="C73" s="11"/>
      <c r="D73" s="5"/>
      <c r="E73" s="19"/>
    </row>
    <row r="74" spans="1:5" ht="30" customHeight="1" x14ac:dyDescent="0.25">
      <c r="A74" s="42"/>
      <c r="B74" s="95"/>
      <c r="C74" s="11"/>
      <c r="D74" s="5"/>
      <c r="E74" s="19"/>
    </row>
    <row r="75" spans="1:5" ht="30" customHeight="1" x14ac:dyDescent="0.25">
      <c r="A75" s="42"/>
      <c r="B75" s="95"/>
      <c r="C75" s="11"/>
      <c r="D75" s="5"/>
      <c r="E75" s="19"/>
    </row>
    <row r="76" spans="1:5" ht="30" customHeight="1" x14ac:dyDescent="0.25">
      <c r="A76" s="42"/>
      <c r="B76" s="95"/>
      <c r="C76" s="11"/>
      <c r="D76" s="5"/>
      <c r="E76" s="19"/>
    </row>
    <row r="77" spans="1:5" ht="30" customHeight="1" x14ac:dyDescent="0.25">
      <c r="A77" s="42"/>
      <c r="B77" s="95"/>
      <c r="C77" s="11"/>
      <c r="D77" s="5"/>
      <c r="E77" s="19"/>
    </row>
    <row r="78" spans="1:5" ht="30" customHeight="1" x14ac:dyDescent="0.25">
      <c r="A78" s="42"/>
      <c r="B78" s="95"/>
      <c r="C78" s="11"/>
      <c r="D78" s="5"/>
      <c r="E78" s="19"/>
    </row>
    <row r="79" spans="1:5" ht="30" customHeight="1" x14ac:dyDescent="0.25">
      <c r="A79" s="42"/>
      <c r="B79" s="95"/>
      <c r="C79" s="11"/>
      <c r="D79" s="5"/>
      <c r="E79" s="19"/>
    </row>
    <row r="80" spans="1:5" ht="30" customHeight="1" x14ac:dyDescent="0.25">
      <c r="A80" s="42"/>
      <c r="B80" s="95"/>
      <c r="C80" s="11"/>
      <c r="D80" s="5"/>
      <c r="E80" s="19"/>
    </row>
    <row r="81" spans="1:5" ht="30" customHeight="1" x14ac:dyDescent="0.25">
      <c r="A81" s="42"/>
      <c r="B81" s="42"/>
      <c r="C81" s="11"/>
      <c r="D81" s="5"/>
      <c r="E81" s="19"/>
    </row>
    <row r="82" spans="1:5" ht="30" customHeight="1" x14ac:dyDescent="0.25">
      <c r="A82" s="42" t="s">
        <v>821</v>
      </c>
      <c r="B82" s="42" t="s">
        <v>615</v>
      </c>
      <c r="C82" s="11" t="s">
        <v>656</v>
      </c>
      <c r="D82" s="5" t="s">
        <v>553</v>
      </c>
      <c r="E82" s="19"/>
    </row>
    <row r="83" spans="1:5" ht="30" customHeight="1" x14ac:dyDescent="0.25">
      <c r="A83" s="42" t="s">
        <v>821</v>
      </c>
      <c r="B83" s="42" t="s">
        <v>616</v>
      </c>
      <c r="C83" s="11" t="s">
        <v>670</v>
      </c>
      <c r="D83" s="5" t="s">
        <v>553</v>
      </c>
      <c r="E83" s="19"/>
    </row>
    <row r="84" spans="1:5" ht="30" customHeight="1" x14ac:dyDescent="0.25">
      <c r="A84" s="42" t="s">
        <v>821</v>
      </c>
      <c r="B84" s="42" t="s">
        <v>617</v>
      </c>
      <c r="C84" s="11" t="s">
        <v>671</v>
      </c>
      <c r="D84" s="5" t="s">
        <v>35</v>
      </c>
      <c r="E84" s="19"/>
    </row>
    <row r="85" spans="1:5" ht="30" customHeight="1" x14ac:dyDescent="0.25">
      <c r="A85" s="42" t="s">
        <v>821</v>
      </c>
      <c r="B85" s="42" t="s">
        <v>672</v>
      </c>
      <c r="C85" s="11" t="s">
        <v>673</v>
      </c>
      <c r="D85" s="5" t="s">
        <v>35</v>
      </c>
      <c r="E85" s="19"/>
    </row>
    <row r="86" spans="1:5" ht="30" customHeight="1" x14ac:dyDescent="0.25">
      <c r="A86" s="42" t="s">
        <v>821</v>
      </c>
      <c r="B86" s="42" t="s">
        <v>618</v>
      </c>
      <c r="C86" s="11" t="s">
        <v>619</v>
      </c>
      <c r="D86" s="5" t="s">
        <v>553</v>
      </c>
      <c r="E86" s="19"/>
    </row>
    <row r="87" spans="1:5" ht="30" customHeight="1" x14ac:dyDescent="0.25">
      <c r="A87" s="42" t="s">
        <v>821</v>
      </c>
      <c r="B87" s="42" t="s">
        <v>674</v>
      </c>
      <c r="C87" s="21" t="s">
        <v>678</v>
      </c>
      <c r="D87" s="5" t="s">
        <v>35</v>
      </c>
      <c r="E87" s="19"/>
    </row>
    <row r="88" spans="1:5" ht="30" customHeight="1" x14ac:dyDescent="0.25">
      <c r="A88" s="42" t="s">
        <v>821</v>
      </c>
      <c r="B88" s="42" t="s">
        <v>675</v>
      </c>
      <c r="C88" s="21" t="s">
        <v>679</v>
      </c>
      <c r="D88" s="5" t="s">
        <v>35</v>
      </c>
      <c r="E88" s="19"/>
    </row>
    <row r="89" spans="1:5" ht="30" customHeight="1" x14ac:dyDescent="0.25">
      <c r="A89" s="42" t="s">
        <v>821</v>
      </c>
      <c r="B89" s="42" t="s">
        <v>676</v>
      </c>
      <c r="C89" s="21" t="s">
        <v>677</v>
      </c>
      <c r="D89" s="5" t="s">
        <v>35</v>
      </c>
      <c r="E89" s="19"/>
    </row>
    <row r="90" spans="1:5" ht="30" customHeight="1" x14ac:dyDescent="0.25">
      <c r="A90" s="42" t="s">
        <v>821</v>
      </c>
      <c r="B90" s="42" t="s">
        <v>625</v>
      </c>
      <c r="C90" s="11" t="s">
        <v>624</v>
      </c>
      <c r="D90" s="5" t="s">
        <v>553</v>
      </c>
      <c r="E90" s="19"/>
    </row>
    <row r="91" spans="1:5" ht="30" customHeight="1" x14ac:dyDescent="0.25">
      <c r="A91" s="42" t="s">
        <v>821</v>
      </c>
      <c r="B91" s="42" t="s">
        <v>626</v>
      </c>
      <c r="C91" s="11" t="s">
        <v>682</v>
      </c>
      <c r="D91" s="5" t="s">
        <v>35</v>
      </c>
      <c r="E91" s="19"/>
    </row>
    <row r="92" spans="1:5" ht="30" customHeight="1" x14ac:dyDescent="0.25">
      <c r="A92" s="42" t="s">
        <v>821</v>
      </c>
      <c r="B92" s="42" t="s">
        <v>627</v>
      </c>
      <c r="C92" s="11" t="s">
        <v>707</v>
      </c>
      <c r="D92" s="5" t="s">
        <v>35</v>
      </c>
      <c r="E92" s="19"/>
    </row>
    <row r="93" spans="1:5" ht="30" customHeight="1" x14ac:dyDescent="0.25">
      <c r="A93" s="42" t="s">
        <v>821</v>
      </c>
      <c r="B93" s="42" t="s">
        <v>628</v>
      </c>
      <c r="C93" s="11" t="s">
        <v>708</v>
      </c>
      <c r="D93" s="5" t="s">
        <v>35</v>
      </c>
      <c r="E93" s="19"/>
    </row>
    <row r="94" spans="1:5" ht="30" customHeight="1" x14ac:dyDescent="0.25">
      <c r="A94" s="42" t="s">
        <v>821</v>
      </c>
      <c r="B94" s="42" t="s">
        <v>629</v>
      </c>
      <c r="C94" s="21" t="s">
        <v>704</v>
      </c>
      <c r="D94" s="5" t="s">
        <v>35</v>
      </c>
      <c r="E94" s="19"/>
    </row>
    <row r="95" spans="1:5" ht="30" customHeight="1" x14ac:dyDescent="0.25">
      <c r="A95" s="42" t="s">
        <v>821</v>
      </c>
      <c r="B95" s="42" t="s">
        <v>630</v>
      </c>
      <c r="C95" s="21" t="s">
        <v>631</v>
      </c>
      <c r="D95" s="5" t="s">
        <v>35</v>
      </c>
      <c r="E95" s="19"/>
    </row>
    <row r="96" spans="1:5" ht="30" customHeight="1" x14ac:dyDescent="0.25">
      <c r="A96" s="42" t="s">
        <v>821</v>
      </c>
      <c r="B96" s="42" t="s">
        <v>632</v>
      </c>
      <c r="C96" s="11" t="s">
        <v>683</v>
      </c>
      <c r="D96" s="5" t="s">
        <v>35</v>
      </c>
      <c r="E96" s="19"/>
    </row>
    <row r="97" spans="1:5" ht="30" customHeight="1" x14ac:dyDescent="0.25">
      <c r="A97" s="42" t="s">
        <v>821</v>
      </c>
      <c r="B97" s="42" t="s">
        <v>633</v>
      </c>
      <c r="C97" s="21" t="s">
        <v>706</v>
      </c>
      <c r="D97" s="5" t="s">
        <v>35</v>
      </c>
      <c r="E97" s="19"/>
    </row>
    <row r="98" spans="1:5" ht="30" customHeight="1" x14ac:dyDescent="0.25">
      <c r="A98" s="42" t="s">
        <v>821</v>
      </c>
      <c r="B98" s="42" t="s">
        <v>634</v>
      </c>
      <c r="C98" s="11" t="s">
        <v>684</v>
      </c>
      <c r="D98" s="5" t="s">
        <v>35</v>
      </c>
      <c r="E98" s="19"/>
    </row>
    <row r="99" spans="1:5" ht="30" customHeight="1" x14ac:dyDescent="0.25">
      <c r="A99" s="42" t="s">
        <v>821</v>
      </c>
      <c r="B99" s="42" t="s">
        <v>635</v>
      </c>
      <c r="C99" s="21" t="s">
        <v>705</v>
      </c>
      <c r="D99" s="5" t="s">
        <v>35</v>
      </c>
      <c r="E99" s="19"/>
    </row>
    <row r="100" spans="1:5" ht="30" customHeight="1" x14ac:dyDescent="0.25">
      <c r="A100" s="42" t="s">
        <v>821</v>
      </c>
      <c r="B100" s="42" t="s">
        <v>636</v>
      </c>
      <c r="C100" s="21" t="s">
        <v>657</v>
      </c>
      <c r="D100" s="5" t="s">
        <v>553</v>
      </c>
      <c r="E100" s="19"/>
    </row>
    <row r="101" spans="1:5" ht="30" customHeight="1" x14ac:dyDescent="0.25">
      <c r="A101" s="42" t="s">
        <v>821</v>
      </c>
      <c r="B101" s="42" t="s">
        <v>1033</v>
      </c>
      <c r="C101" s="21" t="s">
        <v>681</v>
      </c>
      <c r="D101" s="5" t="s">
        <v>553</v>
      </c>
      <c r="E101" s="19"/>
    </row>
    <row r="102" spans="1:5" ht="30" customHeight="1" x14ac:dyDescent="0.25">
      <c r="A102" s="42" t="s">
        <v>821</v>
      </c>
      <c r="B102" s="42" t="s">
        <v>689</v>
      </c>
      <c r="C102" s="21" t="s">
        <v>709</v>
      </c>
      <c r="D102" s="5" t="s">
        <v>35</v>
      </c>
      <c r="E102" s="19"/>
    </row>
    <row r="103" spans="1:5" ht="30" customHeight="1" x14ac:dyDescent="0.25">
      <c r="A103" s="42" t="s">
        <v>821</v>
      </c>
      <c r="B103" s="42" t="s">
        <v>688</v>
      </c>
      <c r="C103" s="21" t="s">
        <v>690</v>
      </c>
      <c r="D103" s="5" t="s">
        <v>35</v>
      </c>
      <c r="E103" s="19"/>
    </row>
    <row r="104" spans="1:5" ht="30" customHeight="1" x14ac:dyDescent="0.25">
      <c r="A104" s="42" t="s">
        <v>821</v>
      </c>
      <c r="B104" s="42" t="s">
        <v>692</v>
      </c>
      <c r="C104" s="21" t="s">
        <v>691</v>
      </c>
      <c r="D104" s="5" t="s">
        <v>35</v>
      </c>
      <c r="E104" s="19"/>
    </row>
    <row r="105" spans="1:5" ht="30" customHeight="1" x14ac:dyDescent="0.25">
      <c r="A105" s="42" t="s">
        <v>821</v>
      </c>
      <c r="B105" s="42" t="s">
        <v>955</v>
      </c>
      <c r="C105" s="11" t="s">
        <v>695</v>
      </c>
      <c r="D105" s="5" t="s">
        <v>35</v>
      </c>
      <c r="E105" s="19"/>
    </row>
    <row r="106" spans="1:5" ht="30" customHeight="1" x14ac:dyDescent="0.25">
      <c r="A106" s="42" t="s">
        <v>821</v>
      </c>
      <c r="B106" s="42" t="s">
        <v>697</v>
      </c>
      <c r="C106" s="11" t="s">
        <v>698</v>
      </c>
      <c r="D106" s="5" t="s">
        <v>553</v>
      </c>
      <c r="E106" s="19"/>
    </row>
    <row r="107" spans="1:5" ht="30" customHeight="1" x14ac:dyDescent="0.25">
      <c r="A107" s="42" t="s">
        <v>821</v>
      </c>
      <c r="B107" s="42" t="s">
        <v>713</v>
      </c>
      <c r="C107" s="11" t="s">
        <v>712</v>
      </c>
      <c r="D107" s="5" t="s">
        <v>35</v>
      </c>
      <c r="E107" s="19"/>
    </row>
    <row r="108" spans="1:5" ht="30" customHeight="1" x14ac:dyDescent="0.25">
      <c r="A108" s="42" t="s">
        <v>821</v>
      </c>
      <c r="B108" s="42" t="s">
        <v>725</v>
      </c>
      <c r="C108" s="11" t="s">
        <v>714</v>
      </c>
      <c r="D108" s="5" t="s">
        <v>553</v>
      </c>
      <c r="E108" s="19"/>
    </row>
    <row r="109" spans="1:5" ht="22.5" customHeight="1" x14ac:dyDescent="0.25">
      <c r="A109" s="42" t="s">
        <v>821</v>
      </c>
      <c r="B109" s="42" t="s">
        <v>956</v>
      </c>
      <c r="C109" s="11" t="s">
        <v>715</v>
      </c>
      <c r="D109" s="5" t="s">
        <v>553</v>
      </c>
      <c r="E109" s="83"/>
    </row>
    <row r="110" spans="1:5" ht="22.5" customHeight="1" x14ac:dyDescent="0.25">
      <c r="A110" s="42" t="s">
        <v>822</v>
      </c>
      <c r="B110" s="42" t="s">
        <v>824</v>
      </c>
      <c r="C110" s="11" t="s">
        <v>823</v>
      </c>
      <c r="D110" s="5" t="s">
        <v>35</v>
      </c>
      <c r="E110" s="83"/>
    </row>
    <row r="111" spans="1:5" ht="22.5" customHeight="1" x14ac:dyDescent="0.25">
      <c r="A111" s="42" t="s">
        <v>822</v>
      </c>
      <c r="B111" s="42" t="s">
        <v>962</v>
      </c>
      <c r="C111" s="11" t="s">
        <v>963</v>
      </c>
      <c r="D111" s="5" t="s">
        <v>553</v>
      </c>
      <c r="E111" s="83"/>
    </row>
    <row r="112" spans="1:5" ht="22.5" customHeight="1" x14ac:dyDescent="0.25">
      <c r="A112" s="42" t="s">
        <v>822</v>
      </c>
      <c r="B112" s="42" t="s">
        <v>828</v>
      </c>
      <c r="C112" s="11" t="s">
        <v>827</v>
      </c>
      <c r="D112" s="5" t="s">
        <v>553</v>
      </c>
      <c r="E112" s="83"/>
    </row>
    <row r="113" spans="1:5" ht="28" x14ac:dyDescent="0.25">
      <c r="A113" s="42" t="s">
        <v>822</v>
      </c>
      <c r="B113" s="42" t="s">
        <v>830</v>
      </c>
      <c r="C113" s="11" t="s">
        <v>987</v>
      </c>
      <c r="D113" s="5" t="s">
        <v>553</v>
      </c>
      <c r="E113" s="83"/>
    </row>
    <row r="114" spans="1:5" ht="22.5" customHeight="1" x14ac:dyDescent="0.25">
      <c r="A114" s="42" t="s">
        <v>822</v>
      </c>
      <c r="B114" s="42" t="s">
        <v>831</v>
      </c>
      <c r="C114" s="11" t="s">
        <v>988</v>
      </c>
      <c r="D114" s="5" t="s">
        <v>553</v>
      </c>
      <c r="E114" s="83"/>
    </row>
    <row r="115" spans="1:5" ht="22.5" customHeight="1" x14ac:dyDescent="0.25">
      <c r="A115" s="42" t="s">
        <v>822</v>
      </c>
      <c r="B115" s="42" t="s">
        <v>832</v>
      </c>
      <c r="C115" s="11" t="s">
        <v>989</v>
      </c>
      <c r="D115" s="5" t="s">
        <v>553</v>
      </c>
      <c r="E115" s="83"/>
    </row>
    <row r="116" spans="1:5" ht="28" x14ac:dyDescent="0.25">
      <c r="A116" s="42" t="s">
        <v>822</v>
      </c>
      <c r="B116" s="42" t="s">
        <v>994</v>
      </c>
      <c r="C116" s="11" t="s">
        <v>997</v>
      </c>
      <c r="D116" s="5" t="s">
        <v>553</v>
      </c>
      <c r="E116" s="83"/>
    </row>
    <row r="117" spans="1:5" ht="22.5" customHeight="1" x14ac:dyDescent="0.25">
      <c r="A117" s="42" t="s">
        <v>822</v>
      </c>
      <c r="B117" s="42" t="s">
        <v>995</v>
      </c>
      <c r="C117" s="11" t="s">
        <v>998</v>
      </c>
      <c r="D117" s="5" t="s">
        <v>553</v>
      </c>
      <c r="E117" s="83"/>
    </row>
    <row r="118" spans="1:5" ht="22.5" customHeight="1" x14ac:dyDescent="0.25">
      <c r="A118" s="42" t="s">
        <v>822</v>
      </c>
      <c r="B118" s="42" t="s">
        <v>996</v>
      </c>
      <c r="C118" s="11" t="s">
        <v>999</v>
      </c>
      <c r="D118" s="5" t="s">
        <v>553</v>
      </c>
      <c r="E118" s="83"/>
    </row>
    <row r="119" spans="1:5" ht="22.5" customHeight="1" x14ac:dyDescent="0.25">
      <c r="A119" s="42" t="s">
        <v>822</v>
      </c>
      <c r="B119" s="42" t="s">
        <v>875</v>
      </c>
      <c r="C119" s="11" t="s">
        <v>874</v>
      </c>
      <c r="D119" s="5" t="s">
        <v>35</v>
      </c>
      <c r="E119" s="83"/>
    </row>
    <row r="120" spans="1:5" ht="22.5" customHeight="1" x14ac:dyDescent="0.25">
      <c r="A120" s="42" t="s">
        <v>822</v>
      </c>
      <c r="B120" s="42" t="s">
        <v>970</v>
      </c>
      <c r="C120" s="11" t="s">
        <v>969</v>
      </c>
      <c r="D120" s="5" t="s">
        <v>553</v>
      </c>
      <c r="E120" s="83"/>
    </row>
    <row r="121" spans="1:5" ht="21.75" customHeight="1" x14ac:dyDescent="0.25">
      <c r="A121" s="42" t="s">
        <v>822</v>
      </c>
      <c r="B121" s="42" t="s">
        <v>877</v>
      </c>
      <c r="C121" s="11" t="s">
        <v>876</v>
      </c>
      <c r="D121" s="5" t="s">
        <v>35</v>
      </c>
      <c r="E121" s="83"/>
    </row>
    <row r="122" spans="1:5" ht="22.5" customHeight="1" x14ac:dyDescent="0.25">
      <c r="A122" s="42" t="s">
        <v>822</v>
      </c>
      <c r="B122" s="42" t="s">
        <v>879</v>
      </c>
      <c r="C122" s="11" t="s">
        <v>878</v>
      </c>
      <c r="D122" s="5" t="s">
        <v>35</v>
      </c>
      <c r="E122" s="83"/>
    </row>
    <row r="123" spans="1:5" ht="22.5" customHeight="1" x14ac:dyDescent="0.25">
      <c r="A123" s="42" t="s">
        <v>822</v>
      </c>
      <c r="B123" s="42" t="s">
        <v>880</v>
      </c>
      <c r="C123" s="11" t="s">
        <v>881</v>
      </c>
      <c r="D123" s="5" t="s">
        <v>35</v>
      </c>
      <c r="E123" s="83"/>
    </row>
    <row r="124" spans="1:5" ht="22.5" customHeight="1" x14ac:dyDescent="0.25">
      <c r="A124" s="42" t="s">
        <v>822</v>
      </c>
      <c r="B124" s="42" t="s">
        <v>967</v>
      </c>
      <c r="C124" s="11" t="s">
        <v>711</v>
      </c>
      <c r="D124" s="5" t="s">
        <v>553</v>
      </c>
      <c r="E124" s="83"/>
    </row>
    <row r="125" spans="1:5" ht="22.5" customHeight="1" x14ac:dyDescent="0.25">
      <c r="A125" s="42" t="s">
        <v>822</v>
      </c>
      <c r="B125" s="42" t="s">
        <v>886</v>
      </c>
      <c r="C125" s="11" t="s">
        <v>885</v>
      </c>
      <c r="D125" s="5" t="s">
        <v>35</v>
      </c>
      <c r="E125" s="83"/>
    </row>
    <row r="126" spans="1:5" ht="22.5" customHeight="1" x14ac:dyDescent="0.25">
      <c r="A126" s="42" t="s">
        <v>822</v>
      </c>
      <c r="B126" s="42" t="s">
        <v>887</v>
      </c>
      <c r="C126" s="11" t="s">
        <v>972</v>
      </c>
      <c r="D126" s="5" t="s">
        <v>35</v>
      </c>
      <c r="E126" s="83"/>
    </row>
    <row r="127" spans="1:5" ht="22.5" customHeight="1" x14ac:dyDescent="0.25">
      <c r="A127" s="42" t="s">
        <v>822</v>
      </c>
      <c r="B127" s="42" t="s">
        <v>888</v>
      </c>
      <c r="C127" s="11" t="s">
        <v>973</v>
      </c>
      <c r="D127" s="5" t="s">
        <v>35</v>
      </c>
      <c r="E127" s="83"/>
    </row>
    <row r="128" spans="1:5" ht="22.5" customHeight="1" x14ac:dyDescent="0.25">
      <c r="A128" s="42" t="s">
        <v>822</v>
      </c>
      <c r="B128" s="42" t="s">
        <v>889</v>
      </c>
      <c r="C128" s="11" t="s">
        <v>974</v>
      </c>
      <c r="D128" s="5" t="s">
        <v>35</v>
      </c>
      <c r="E128" s="83"/>
    </row>
    <row r="129" spans="1:5" ht="22.5" customHeight="1" x14ac:dyDescent="0.25">
      <c r="A129" s="42" t="s">
        <v>822</v>
      </c>
      <c r="B129" s="42" t="s">
        <v>894</v>
      </c>
      <c r="C129" s="11" t="s">
        <v>890</v>
      </c>
      <c r="D129" s="5" t="s">
        <v>35</v>
      </c>
      <c r="E129" s="83"/>
    </row>
    <row r="130" spans="1:5" ht="22.5" customHeight="1" x14ac:dyDescent="0.25">
      <c r="A130" s="42" t="s">
        <v>822</v>
      </c>
      <c r="B130" s="42" t="s">
        <v>892</v>
      </c>
      <c r="C130" s="11" t="s">
        <v>891</v>
      </c>
      <c r="D130" s="5" t="s">
        <v>553</v>
      </c>
      <c r="E130" s="83"/>
    </row>
    <row r="131" spans="1:5" ht="22.5" customHeight="1" x14ac:dyDescent="0.25">
      <c r="A131" s="42" t="s">
        <v>822</v>
      </c>
      <c r="B131" s="42" t="s">
        <v>898</v>
      </c>
      <c r="C131" s="11" t="s">
        <v>897</v>
      </c>
      <c r="D131" s="5" t="s">
        <v>35</v>
      </c>
      <c r="E131" s="83"/>
    </row>
    <row r="132" spans="1:5" ht="22.5" customHeight="1" x14ac:dyDescent="0.25">
      <c r="A132" s="42" t="s">
        <v>822</v>
      </c>
      <c r="B132" s="42" t="s">
        <v>910</v>
      </c>
      <c r="C132" s="11" t="s">
        <v>900</v>
      </c>
      <c r="D132" s="5" t="s">
        <v>553</v>
      </c>
      <c r="E132" s="83"/>
    </row>
    <row r="133" spans="1:5" ht="22.5" customHeight="1" x14ac:dyDescent="0.25">
      <c r="A133" s="42" t="s">
        <v>822</v>
      </c>
      <c r="B133" s="42" t="s">
        <v>912</v>
      </c>
      <c r="C133" s="11" t="s">
        <v>911</v>
      </c>
      <c r="D133" s="5" t="s">
        <v>35</v>
      </c>
      <c r="E133" s="83"/>
    </row>
    <row r="134" spans="1:5" ht="22.5" customHeight="1" x14ac:dyDescent="0.25">
      <c r="A134" s="82"/>
      <c r="B134" s="42"/>
      <c r="C134" s="25"/>
      <c r="D134" s="5"/>
      <c r="E134" s="83"/>
    </row>
    <row r="135" spans="1:5" ht="22.5" customHeight="1" x14ac:dyDescent="0.25">
      <c r="A135" s="82"/>
      <c r="B135" s="82"/>
      <c r="C135" s="11"/>
      <c r="D135" s="5"/>
      <c r="E135" s="83"/>
    </row>
    <row r="136" spans="1:5" ht="22.5" customHeight="1" x14ac:dyDescent="0.25">
      <c r="A136" s="82"/>
      <c r="B136" s="82"/>
      <c r="C136" s="11"/>
      <c r="D136" s="5"/>
      <c r="E136" s="83"/>
    </row>
    <row r="137" spans="1:5" ht="22.5" customHeight="1" x14ac:dyDescent="0.25">
      <c r="A137" s="82"/>
      <c r="B137" s="82"/>
      <c r="C137" s="11"/>
      <c r="D137" s="5"/>
      <c r="E137" s="83"/>
    </row>
    <row r="138" spans="1:5" ht="22.5" customHeight="1" x14ac:dyDescent="0.25">
      <c r="A138" s="82"/>
      <c r="B138" s="82"/>
      <c r="C138" s="11"/>
      <c r="D138" s="5"/>
      <c r="E138" s="83"/>
    </row>
    <row r="139" spans="1:5" ht="22.5" customHeight="1" x14ac:dyDescent="0.25">
      <c r="A139" s="82"/>
      <c r="B139" s="82"/>
      <c r="C139" s="11"/>
      <c r="D139" s="5"/>
      <c r="E139" s="83"/>
    </row>
    <row r="140" spans="1:5" ht="22.5" customHeight="1" x14ac:dyDescent="0.25">
      <c r="A140" s="82"/>
      <c r="B140" s="82"/>
      <c r="C140" s="11"/>
      <c r="D140" s="5"/>
      <c r="E140" s="83"/>
    </row>
    <row r="141" spans="1:5" ht="22.5" customHeight="1" x14ac:dyDescent="0.25">
      <c r="A141" s="82"/>
      <c r="B141" s="82"/>
      <c r="C141" s="11"/>
      <c r="D141" s="5"/>
      <c r="E141" s="83"/>
    </row>
    <row r="142" spans="1:5" ht="22.5" customHeight="1" x14ac:dyDescent="0.25">
      <c r="A142" s="82"/>
      <c r="B142" s="82"/>
      <c r="C142" s="11"/>
      <c r="D142" s="5"/>
      <c r="E142" s="83"/>
    </row>
    <row r="143" spans="1:5" ht="22.5" customHeight="1" x14ac:dyDescent="0.25">
      <c r="A143" s="82"/>
      <c r="B143" s="42"/>
      <c r="C143" s="11"/>
      <c r="D143" s="5"/>
      <c r="E143" s="83"/>
    </row>
    <row r="144" spans="1:5" ht="22.5" customHeight="1" x14ac:dyDescent="0.25">
      <c r="A144" s="82"/>
      <c r="B144" s="82"/>
      <c r="C144" s="11"/>
      <c r="D144" s="5"/>
      <c r="E144" s="83"/>
    </row>
    <row r="145" spans="1:5" ht="22.5" customHeight="1" x14ac:dyDescent="0.25">
      <c r="A145" s="82"/>
      <c r="B145" s="82"/>
      <c r="C145" s="11"/>
      <c r="D145" s="5"/>
      <c r="E145" s="83"/>
    </row>
    <row r="146" spans="1:5" ht="22.5" customHeight="1" x14ac:dyDescent="0.25">
      <c r="A146" s="82"/>
      <c r="B146" s="82"/>
      <c r="C146" s="11"/>
      <c r="D146" s="5"/>
      <c r="E146" s="83"/>
    </row>
    <row r="147" spans="1:5" ht="22.5" customHeight="1" x14ac:dyDescent="0.25">
      <c r="A147" s="82"/>
      <c r="B147" s="42"/>
      <c r="C147" s="11"/>
      <c r="D147" s="5"/>
      <c r="E147" s="83"/>
    </row>
    <row r="148" spans="1:5" ht="22.5" customHeight="1" x14ac:dyDescent="0.25">
      <c r="A148" s="82"/>
      <c r="B148" s="42"/>
      <c r="C148" s="11"/>
      <c r="D148" s="5"/>
      <c r="E148" s="83"/>
    </row>
    <row r="149" spans="1:5" ht="22.5" customHeight="1" x14ac:dyDescent="0.25">
      <c r="A149" s="82"/>
      <c r="B149" s="82"/>
      <c r="C149" s="11"/>
      <c r="D149" s="5"/>
      <c r="E149" s="83"/>
    </row>
    <row r="150" spans="1:5" ht="22.5" customHeight="1" x14ac:dyDescent="0.25">
      <c r="A150" s="82"/>
      <c r="B150" s="82"/>
      <c r="C150" s="11"/>
      <c r="D150" s="5"/>
      <c r="E150" s="83"/>
    </row>
    <row r="151" spans="1:5" ht="22.5" customHeight="1" x14ac:dyDescent="0.25">
      <c r="A151" s="82"/>
      <c r="B151" s="82"/>
      <c r="C151" s="11"/>
      <c r="D151" s="5"/>
      <c r="E151" s="83"/>
    </row>
    <row r="152" spans="1:5" ht="22.5" customHeight="1" x14ac:dyDescent="0.25">
      <c r="A152" s="82"/>
      <c r="B152" s="82"/>
      <c r="C152" s="11"/>
      <c r="D152" s="5"/>
      <c r="E152" s="83"/>
    </row>
    <row r="153" spans="1:5" ht="22.5" customHeight="1" x14ac:dyDescent="0.25">
      <c r="A153" s="82"/>
      <c r="B153" s="82"/>
      <c r="C153" s="11"/>
      <c r="D153" s="5"/>
      <c r="E153" s="83"/>
    </row>
    <row r="154" spans="1:5" ht="22.5" customHeight="1" x14ac:dyDescent="0.25">
      <c r="A154" s="82"/>
      <c r="B154" s="82"/>
      <c r="C154" s="11"/>
      <c r="D154" s="5"/>
      <c r="E154" s="83"/>
    </row>
    <row r="155" spans="1:5" ht="22.5" customHeight="1" x14ac:dyDescent="0.25">
      <c r="A155" s="82"/>
      <c r="B155" s="82"/>
      <c r="C155" s="11"/>
      <c r="D155" s="5"/>
      <c r="E155" s="83"/>
    </row>
    <row r="156" spans="1:5" ht="22.5" customHeight="1" x14ac:dyDescent="0.25">
      <c r="A156" s="82"/>
      <c r="B156" s="82"/>
      <c r="C156" s="11"/>
      <c r="D156" s="5"/>
      <c r="E156" s="83"/>
    </row>
    <row r="157" spans="1:5" ht="22.5" customHeight="1" x14ac:dyDescent="0.25">
      <c r="A157" s="82"/>
      <c r="B157" s="42"/>
      <c r="C157" s="11"/>
      <c r="D157" s="5"/>
      <c r="E157" s="83"/>
    </row>
    <row r="158" spans="1:5" ht="22.5" customHeight="1" x14ac:dyDescent="0.25">
      <c r="A158" s="5"/>
      <c r="B158" s="42"/>
      <c r="C158" s="11"/>
      <c r="D158" s="5"/>
      <c r="E158" s="83"/>
    </row>
    <row r="159" spans="1:5" ht="22.5" customHeight="1" x14ac:dyDescent="0.25">
      <c r="A159" s="82"/>
      <c r="B159" s="82"/>
      <c r="C159" s="11"/>
      <c r="D159" s="5"/>
      <c r="E159" s="83"/>
    </row>
    <row r="160" spans="1:5" ht="22.5" customHeight="1" x14ac:dyDescent="0.25">
      <c r="A160" s="82"/>
      <c r="B160" s="82"/>
      <c r="C160" s="11"/>
      <c r="D160" s="5"/>
      <c r="E160" s="83"/>
    </row>
    <row r="161" spans="1:5" ht="22.5" customHeight="1" x14ac:dyDescent="0.25">
      <c r="A161" s="82"/>
      <c r="B161" s="82"/>
      <c r="C161" s="11"/>
      <c r="D161" s="5"/>
      <c r="E161" s="83"/>
    </row>
    <row r="162" spans="1:5" ht="22.5" customHeight="1" x14ac:dyDescent="0.25">
      <c r="A162" s="82"/>
      <c r="B162" s="82"/>
      <c r="C162" s="11"/>
      <c r="D162" s="5"/>
      <c r="E162" s="83"/>
    </row>
    <row r="163" spans="1:5" ht="22.5" customHeight="1" x14ac:dyDescent="0.25">
      <c r="A163" s="82"/>
      <c r="B163" s="82"/>
      <c r="C163" s="11"/>
      <c r="D163" s="5"/>
      <c r="E163" s="83"/>
    </row>
    <row r="164" spans="1:5" ht="22.5" customHeight="1" x14ac:dyDescent="0.25">
      <c r="A164" s="82"/>
      <c r="B164" s="82"/>
      <c r="C164" s="11"/>
      <c r="D164" s="5"/>
      <c r="E164" s="83"/>
    </row>
    <row r="165" spans="1:5" ht="22.5" customHeight="1" x14ac:dyDescent="0.25">
      <c r="A165" s="82"/>
      <c r="B165" s="82"/>
      <c r="C165" s="11"/>
      <c r="D165" s="5"/>
      <c r="E165" s="83"/>
    </row>
    <row r="166" spans="1:5" ht="21.75" customHeight="1" x14ac:dyDescent="0.25">
      <c r="A166" s="82"/>
      <c r="B166" s="42"/>
      <c r="C166" s="11"/>
      <c r="D166" s="5"/>
      <c r="E166" s="83"/>
    </row>
    <row r="167" spans="1:5" ht="22.5" customHeight="1" x14ac:dyDescent="0.25">
      <c r="A167" s="82"/>
      <c r="B167" s="82"/>
      <c r="C167" s="11"/>
      <c r="D167" s="5"/>
      <c r="E167" s="83"/>
    </row>
    <row r="168" spans="1:5" ht="22.5" customHeight="1" x14ac:dyDescent="0.25">
      <c r="A168" s="42"/>
      <c r="B168" s="42"/>
      <c r="C168" s="11"/>
      <c r="D168" s="5"/>
      <c r="E168" s="83"/>
    </row>
    <row r="169" spans="1:5" ht="22.5" customHeight="1" x14ac:dyDescent="0.25">
      <c r="A169" s="42"/>
      <c r="B169" s="42"/>
      <c r="C169" s="11"/>
      <c r="D169" s="5"/>
      <c r="E169" s="83"/>
    </row>
    <row r="170" spans="1:5" ht="22.5" customHeight="1" x14ac:dyDescent="0.25">
      <c r="A170" s="42"/>
      <c r="B170" s="42"/>
      <c r="C170" s="11"/>
      <c r="D170" s="5"/>
      <c r="E170" s="83"/>
    </row>
    <row r="171" spans="1:5" ht="22.5" customHeight="1" x14ac:dyDescent="0.25">
      <c r="A171" s="42"/>
      <c r="B171" s="42"/>
      <c r="C171" s="11"/>
      <c r="D171" s="5"/>
      <c r="E171" s="83"/>
    </row>
    <row r="172" spans="1:5" ht="22.5" customHeight="1" x14ac:dyDescent="0.25">
      <c r="A172" s="42"/>
      <c r="B172" s="42"/>
      <c r="C172" s="11"/>
      <c r="D172" s="5"/>
      <c r="E172" s="83"/>
    </row>
    <row r="173" spans="1:5" ht="22.5" customHeight="1" x14ac:dyDescent="0.25">
      <c r="A173" s="42"/>
      <c r="B173" s="42"/>
      <c r="C173" s="11"/>
      <c r="D173" s="5"/>
      <c r="E173" s="83"/>
    </row>
    <row r="174" spans="1:5" ht="22.5" customHeight="1" x14ac:dyDescent="0.25">
      <c r="A174" s="42"/>
      <c r="B174" s="42"/>
      <c r="C174" s="11"/>
      <c r="D174" s="5"/>
      <c r="E174" s="83"/>
    </row>
    <row r="175" spans="1:5" ht="22.5" customHeight="1" x14ac:dyDescent="0.25">
      <c r="A175" s="82"/>
      <c r="B175" s="82"/>
      <c r="C175" s="11"/>
      <c r="D175" s="5"/>
      <c r="E175" s="83"/>
    </row>
    <row r="176" spans="1:5" ht="22.5" customHeight="1" x14ac:dyDescent="0.25">
      <c r="A176" s="82"/>
      <c r="B176" s="82"/>
      <c r="C176" s="11"/>
      <c r="D176" s="5"/>
      <c r="E176" s="83"/>
    </row>
    <row r="177" spans="1:5" ht="22.5" customHeight="1" x14ac:dyDescent="0.25">
      <c r="A177" s="82"/>
      <c r="B177" s="82"/>
      <c r="C177" s="11"/>
      <c r="D177" s="5"/>
    </row>
    <row r="178" spans="1:5" ht="30" customHeight="1" x14ac:dyDescent="0.25">
      <c r="A178" s="5"/>
      <c r="B178" s="5"/>
      <c r="C178" s="11"/>
      <c r="D178" s="5"/>
      <c r="E178" s="19"/>
    </row>
    <row r="179" spans="1:5" ht="30" customHeight="1" x14ac:dyDescent="0.25">
      <c r="A179" s="42"/>
      <c r="B179" s="42"/>
      <c r="C179" s="11"/>
      <c r="D179" s="5"/>
      <c r="E179" s="83"/>
    </row>
    <row r="180" spans="1:5" ht="30" customHeight="1" x14ac:dyDescent="0.25">
      <c r="A180" s="42"/>
      <c r="B180" s="42"/>
      <c r="C180" s="11"/>
      <c r="D180" s="5"/>
      <c r="E180" s="83"/>
    </row>
    <row r="181" spans="1:5" ht="30" customHeight="1" x14ac:dyDescent="0.25">
      <c r="A181" s="42"/>
      <c r="B181" s="42"/>
      <c r="C181" s="11"/>
      <c r="D181" s="5"/>
      <c r="E181" s="83" t="s">
        <v>542</v>
      </c>
    </row>
    <row r="182" spans="1:5" ht="30" customHeight="1" x14ac:dyDescent="0.25">
      <c r="A182" s="5"/>
      <c r="B182" s="5"/>
      <c r="C182" s="11"/>
      <c r="D182" s="5"/>
      <c r="E182" s="19"/>
    </row>
    <row r="183" spans="1:5" ht="30" customHeight="1" x14ac:dyDescent="0.25">
      <c r="A183" s="5"/>
      <c r="B183" s="5"/>
      <c r="C183" s="11"/>
      <c r="D183" s="5"/>
      <c r="E183" s="19"/>
    </row>
    <row r="184" spans="1:5" ht="30" customHeight="1" x14ac:dyDescent="0.25">
      <c r="A184" s="5"/>
      <c r="B184" s="5"/>
      <c r="C184" s="11"/>
      <c r="D184" s="5"/>
      <c r="E184" s="19"/>
    </row>
    <row r="185" spans="1:5" ht="30" customHeight="1" x14ac:dyDescent="0.25">
      <c r="A185" s="5"/>
      <c r="B185" s="5"/>
      <c r="C185" s="11"/>
      <c r="D185" s="5"/>
      <c r="E185" s="19"/>
    </row>
    <row r="186" spans="1:5" ht="30" customHeight="1" x14ac:dyDescent="0.25">
      <c r="A186" s="5"/>
      <c r="B186" s="5"/>
      <c r="C186" s="11"/>
      <c r="D186" s="5"/>
      <c r="E186" s="19"/>
    </row>
    <row r="187" spans="1:5" ht="30" customHeight="1" x14ac:dyDescent="0.25">
      <c r="A187" s="5"/>
      <c r="B187" s="5"/>
      <c r="C187" s="11"/>
      <c r="D187" s="5"/>
      <c r="E187" s="19"/>
    </row>
    <row r="188" spans="1:5" ht="30" customHeight="1" x14ac:dyDescent="0.25">
      <c r="A188" s="5"/>
      <c r="B188" s="5"/>
      <c r="C188" s="11"/>
      <c r="D188" s="5"/>
      <c r="E188" s="19"/>
    </row>
    <row r="189" spans="1:5" ht="30" customHeight="1" x14ac:dyDescent="0.25">
      <c r="A189" s="5"/>
      <c r="B189" s="5"/>
      <c r="C189" s="11"/>
      <c r="D189" s="5"/>
      <c r="E189" s="19"/>
    </row>
    <row r="190" spans="1:5" ht="30" customHeight="1" x14ac:dyDescent="0.25">
      <c r="A190" s="5"/>
      <c r="B190" s="5"/>
      <c r="C190" s="11"/>
      <c r="D190" s="5"/>
      <c r="E190" s="19"/>
    </row>
    <row r="191" spans="1:5" ht="30" customHeight="1" x14ac:dyDescent="0.25">
      <c r="A191" s="5"/>
      <c r="B191" s="5"/>
      <c r="C191" s="11"/>
      <c r="D191" s="5"/>
      <c r="E191" s="19"/>
    </row>
    <row r="192" spans="1:5" ht="30" customHeight="1" x14ac:dyDescent="0.25">
      <c r="A192" s="5"/>
      <c r="B192" s="5"/>
      <c r="C192" s="11"/>
      <c r="D192" s="5"/>
      <c r="E192" s="19"/>
    </row>
    <row r="193" spans="1:5" ht="30" customHeight="1" x14ac:dyDescent="0.25">
      <c r="A193" s="5"/>
      <c r="B193" s="5"/>
      <c r="C193" s="11"/>
      <c r="D193" s="5"/>
      <c r="E193" s="19"/>
    </row>
    <row r="194" spans="1:5" ht="30" customHeight="1" x14ac:dyDescent="0.25">
      <c r="A194" s="5"/>
      <c r="B194" s="5"/>
      <c r="C194" s="11"/>
      <c r="D194" s="5"/>
      <c r="E194" s="19"/>
    </row>
    <row r="195" spans="1:5" ht="30" customHeight="1" x14ac:dyDescent="0.25">
      <c r="A195" s="5"/>
      <c r="B195" s="5"/>
      <c r="C195" s="11"/>
      <c r="D195" s="5"/>
      <c r="E195" s="19"/>
    </row>
    <row r="196" spans="1:5" ht="30" customHeight="1" x14ac:dyDescent="0.25">
      <c r="A196" s="5"/>
      <c r="B196" s="5"/>
      <c r="C196" s="11"/>
      <c r="D196" s="5"/>
      <c r="E196" s="19"/>
    </row>
    <row r="197" spans="1:5" ht="30" customHeight="1" x14ac:dyDescent="0.25">
      <c r="A197" s="5"/>
      <c r="B197" s="5"/>
      <c r="C197" s="5"/>
      <c r="D197" s="5"/>
      <c r="E197" s="19"/>
    </row>
    <row r="198" spans="1:5" ht="30" customHeight="1" x14ac:dyDescent="0.25">
      <c r="A198" s="5"/>
      <c r="B198" s="5"/>
      <c r="C198" s="5"/>
      <c r="D198" s="5"/>
      <c r="E198" s="19"/>
    </row>
    <row r="199" spans="1:5" ht="30" customHeight="1" x14ac:dyDescent="0.25">
      <c r="A199" s="5"/>
      <c r="B199" s="5"/>
      <c r="C199" s="5"/>
      <c r="D199" s="5"/>
      <c r="E199" s="19"/>
    </row>
    <row r="200" spans="1:5" ht="30" customHeight="1" x14ac:dyDescent="0.25">
      <c r="A200" s="5"/>
      <c r="B200" s="5"/>
      <c r="D200" s="5"/>
      <c r="E200" s="19"/>
    </row>
    <row r="201" spans="1:5" ht="30" customHeight="1" x14ac:dyDescent="0.25">
      <c r="A201" s="5"/>
      <c r="B201" s="5"/>
      <c r="C201" s="11"/>
      <c r="D201" s="20"/>
      <c r="E201" s="19"/>
    </row>
    <row r="202" spans="1:5" ht="30" customHeight="1" x14ac:dyDescent="0.25">
      <c r="A202" s="5"/>
      <c r="B202" s="5"/>
      <c r="C202" s="11"/>
      <c r="D202" s="20"/>
      <c r="E202" s="19"/>
    </row>
    <row r="203" spans="1:5" ht="30" customHeight="1" x14ac:dyDescent="0.25">
      <c r="A203" s="20"/>
      <c r="B203" s="5"/>
      <c r="C203" s="11"/>
      <c r="D203" s="5"/>
      <c r="E203" s="19"/>
    </row>
    <row r="204" spans="1:5" ht="30" customHeight="1" x14ac:dyDescent="0.25">
      <c r="A204" s="20"/>
      <c r="B204" s="5"/>
      <c r="C204" s="11"/>
      <c r="D204" s="20"/>
      <c r="E204" s="19"/>
    </row>
    <row r="205" spans="1:5" ht="30" customHeight="1" x14ac:dyDescent="0.25">
      <c r="A205" s="20"/>
      <c r="B205" s="5"/>
      <c r="C205" s="11"/>
      <c r="D205" s="5"/>
      <c r="E205" s="19"/>
    </row>
    <row r="206" spans="1:5" ht="30" customHeight="1" x14ac:dyDescent="0.25">
      <c r="A206" s="5"/>
      <c r="B206" s="5"/>
      <c r="C206" s="11"/>
      <c r="D206" s="5"/>
      <c r="E206" s="19"/>
    </row>
    <row r="207" spans="1:5" ht="30" customHeight="1" x14ac:dyDescent="0.25">
      <c r="A207" s="20"/>
      <c r="B207" s="5"/>
      <c r="C207" s="11"/>
      <c r="D207" s="5"/>
      <c r="E207" s="19"/>
    </row>
    <row r="208" spans="1:5" ht="30" customHeight="1" x14ac:dyDescent="0.25">
      <c r="A208" s="20"/>
      <c r="B208" s="5"/>
      <c r="C208" s="11"/>
      <c r="D208" s="5"/>
      <c r="E208" s="19"/>
    </row>
    <row r="209" spans="1:5" ht="30" customHeight="1" x14ac:dyDescent="0.25">
      <c r="A209" s="20"/>
      <c r="B209" s="5"/>
      <c r="C209" s="11"/>
      <c r="D209" s="5"/>
      <c r="E209" s="19"/>
    </row>
    <row r="210" spans="1:5" ht="30" customHeight="1" x14ac:dyDescent="0.25">
      <c r="A210" s="20"/>
      <c r="B210" s="5"/>
      <c r="C210" s="11"/>
      <c r="D210" s="5"/>
      <c r="E210" s="19"/>
    </row>
    <row r="211" spans="1:5" ht="30" customHeight="1" x14ac:dyDescent="0.25">
      <c r="A211" s="20"/>
      <c r="B211" s="5"/>
      <c r="C211" s="11"/>
      <c r="D211" s="5"/>
      <c r="E211" s="19"/>
    </row>
    <row r="212" spans="1:5" ht="30" customHeight="1" x14ac:dyDescent="0.25">
      <c r="A212" s="20"/>
      <c r="B212" s="5"/>
      <c r="C212" s="11"/>
      <c r="D212" s="5"/>
      <c r="E212" s="19"/>
    </row>
    <row r="213" spans="1:5" ht="30" customHeight="1" x14ac:dyDescent="0.25">
      <c r="A213" s="20"/>
      <c r="B213" s="5"/>
      <c r="C213" s="11"/>
      <c r="D213" s="5"/>
      <c r="E213" s="19"/>
    </row>
    <row r="214" spans="1:5" ht="30" customHeight="1" x14ac:dyDescent="0.25">
      <c r="A214" s="20"/>
      <c r="B214" s="5"/>
      <c r="C214" s="11"/>
      <c r="D214" s="5"/>
      <c r="E214" s="19"/>
    </row>
    <row r="215" spans="1:5" ht="30" customHeight="1" x14ac:dyDescent="0.25">
      <c r="A215" s="20"/>
      <c r="B215" s="5"/>
      <c r="C215" s="11"/>
      <c r="D215" s="5"/>
      <c r="E215" s="19"/>
    </row>
    <row r="216" spans="1:5" ht="30" customHeight="1" x14ac:dyDescent="0.25">
      <c r="A216" s="20"/>
      <c r="B216" s="5"/>
      <c r="C216" s="11"/>
      <c r="D216" s="5"/>
      <c r="E216" s="19"/>
    </row>
    <row r="217" spans="1:5" ht="30" customHeight="1" x14ac:dyDescent="0.25">
      <c r="A217" s="20"/>
      <c r="B217" s="5"/>
      <c r="C217" s="11"/>
      <c r="D217" s="5"/>
      <c r="E217" s="19"/>
    </row>
    <row r="218" spans="1:5" ht="30" customHeight="1" x14ac:dyDescent="0.25">
      <c r="A218" s="20"/>
      <c r="B218" s="5"/>
      <c r="C218" s="11"/>
      <c r="D218" s="5"/>
      <c r="E218" s="19"/>
    </row>
    <row r="219" spans="1:5" ht="30" customHeight="1" x14ac:dyDescent="0.25">
      <c r="A219" s="20"/>
      <c r="B219" s="5"/>
      <c r="C219" s="11"/>
      <c r="D219" s="5"/>
      <c r="E219" s="19"/>
    </row>
    <row r="220" spans="1:5" ht="30" customHeight="1" x14ac:dyDescent="0.25">
      <c r="A220" s="20"/>
      <c r="B220" s="5"/>
      <c r="C220" s="11"/>
      <c r="D220" s="5"/>
      <c r="E220" s="19"/>
    </row>
    <row r="221" spans="1:5" ht="30" customHeight="1" x14ac:dyDescent="0.25">
      <c r="A221" s="20"/>
      <c r="B221" s="5"/>
      <c r="C221" s="11"/>
      <c r="D221" s="5"/>
      <c r="E221" s="19"/>
    </row>
    <row r="222" spans="1:5" ht="30" customHeight="1" x14ac:dyDescent="0.25">
      <c r="A222" s="20"/>
      <c r="B222" s="5"/>
      <c r="C222" s="11"/>
      <c r="D222" s="5"/>
      <c r="E222" s="19"/>
    </row>
    <row r="223" spans="1:5" ht="30" customHeight="1" x14ac:dyDescent="0.25">
      <c r="A223" s="20"/>
      <c r="B223" s="5"/>
      <c r="C223" s="11"/>
      <c r="D223" s="5"/>
      <c r="E223" s="19"/>
    </row>
    <row r="224" spans="1:5" ht="30" customHeight="1" x14ac:dyDescent="0.25">
      <c r="A224" s="20"/>
      <c r="B224" s="5"/>
      <c r="C224" s="11"/>
      <c r="D224" s="5"/>
      <c r="E224" s="19"/>
    </row>
    <row r="225" spans="1:5" ht="30" customHeight="1" x14ac:dyDescent="0.25">
      <c r="A225" s="20"/>
      <c r="B225" s="5"/>
      <c r="C225" s="11"/>
      <c r="D225" s="5"/>
      <c r="E225" s="19"/>
    </row>
    <row r="226" spans="1:5" ht="30" customHeight="1" x14ac:dyDescent="0.25">
      <c r="A226" s="20"/>
      <c r="B226" s="5"/>
      <c r="C226" s="11"/>
      <c r="D226" s="5"/>
      <c r="E226" s="19"/>
    </row>
    <row r="227" spans="1:5" ht="30" customHeight="1" x14ac:dyDescent="0.25">
      <c r="A227" s="20"/>
      <c r="B227" s="5"/>
      <c r="C227" s="11"/>
      <c r="D227" s="5"/>
      <c r="E227" s="19"/>
    </row>
    <row r="228" spans="1:5" ht="30" customHeight="1" x14ac:dyDescent="0.25">
      <c r="A228" s="20"/>
      <c r="B228" s="5"/>
      <c r="C228" s="11"/>
      <c r="D228" s="5"/>
      <c r="E228" s="19"/>
    </row>
    <row r="229" spans="1:5" ht="30" customHeight="1" x14ac:dyDescent="0.25">
      <c r="A229" s="20"/>
      <c r="B229" s="5"/>
      <c r="C229" s="11"/>
      <c r="D229" s="5"/>
      <c r="E229" s="19"/>
    </row>
    <row r="230" spans="1:5" ht="30" customHeight="1" x14ac:dyDescent="0.25">
      <c r="A230" s="20"/>
      <c r="B230" s="5"/>
      <c r="C230" s="11"/>
      <c r="D230" s="5"/>
      <c r="E230" s="19"/>
    </row>
    <row r="231" spans="1:5" ht="30" customHeight="1" x14ac:dyDescent="0.25">
      <c r="A231" s="20"/>
      <c r="B231" s="5"/>
      <c r="C231" s="11"/>
      <c r="D231" s="5"/>
      <c r="E231" s="19"/>
    </row>
    <row r="232" spans="1:5" ht="30" customHeight="1" x14ac:dyDescent="0.25">
      <c r="A232" s="20"/>
      <c r="B232" s="5"/>
      <c r="C232" s="11"/>
      <c r="D232" s="5"/>
      <c r="E232" s="19"/>
    </row>
    <row r="233" spans="1:5" ht="30" customHeight="1" x14ac:dyDescent="0.25">
      <c r="A233" s="33"/>
      <c r="B233" s="33"/>
      <c r="C233" s="34"/>
      <c r="D233" s="33"/>
      <c r="E233" s="19"/>
    </row>
    <row r="234" spans="1:5" ht="30" customHeight="1" x14ac:dyDescent="0.25">
      <c r="A234" s="33"/>
      <c r="B234" s="33"/>
      <c r="C234" s="34"/>
      <c r="D234" s="33"/>
      <c r="E234" s="19"/>
    </row>
    <row r="235" spans="1:5" ht="30" customHeight="1" x14ac:dyDescent="0.25">
      <c r="A235" s="33"/>
      <c r="B235" s="33"/>
      <c r="C235" s="34"/>
      <c r="D235" s="33"/>
      <c r="E235" s="19"/>
    </row>
    <row r="236" spans="1:5" ht="30" customHeight="1" x14ac:dyDescent="0.25">
      <c r="A236" s="33"/>
      <c r="B236" s="33"/>
      <c r="C236" s="35"/>
      <c r="D236" s="33"/>
      <c r="E236" s="19"/>
    </row>
    <row r="237" spans="1:5" ht="30" customHeight="1" x14ac:dyDescent="0.25">
      <c r="A237" s="33"/>
      <c r="B237" s="33"/>
      <c r="C237" s="34"/>
      <c r="D237" s="33"/>
      <c r="E237" s="19"/>
    </row>
    <row r="238" spans="1:5" ht="30" customHeight="1" x14ac:dyDescent="0.25">
      <c r="A238" s="33"/>
      <c r="B238" s="33"/>
      <c r="C238" s="34"/>
      <c r="D238" s="33"/>
      <c r="E238" s="19"/>
    </row>
    <row r="239" spans="1:5" ht="30" customHeight="1" x14ac:dyDescent="0.25">
      <c r="A239" s="33"/>
      <c r="B239" s="33"/>
      <c r="C239" s="34"/>
      <c r="D239" s="33"/>
      <c r="E239" s="19"/>
    </row>
    <row r="240" spans="1:5" ht="30" customHeight="1" x14ac:dyDescent="0.25">
      <c r="A240" s="33"/>
      <c r="B240" s="33"/>
      <c r="C240" s="34"/>
      <c r="D240" s="33"/>
      <c r="E240" s="19"/>
    </row>
    <row r="241" spans="1:5" ht="30" customHeight="1" x14ac:dyDescent="0.25">
      <c r="A241" s="33"/>
      <c r="B241" s="33"/>
      <c r="C241" s="34"/>
      <c r="D241" s="33"/>
      <c r="E241" s="19"/>
    </row>
    <row r="242" spans="1:5" ht="30" customHeight="1" x14ac:dyDescent="0.25">
      <c r="A242" s="33"/>
      <c r="B242" s="33"/>
      <c r="C242" s="34"/>
      <c r="D242" s="33"/>
      <c r="E242" s="19"/>
    </row>
    <row r="243" spans="1:5" ht="30" customHeight="1" x14ac:dyDescent="0.25">
      <c r="A243" s="33"/>
      <c r="B243" s="33"/>
      <c r="C243" s="34"/>
      <c r="D243" s="33"/>
      <c r="E243" s="19"/>
    </row>
    <row r="244" spans="1:5" ht="30" customHeight="1" x14ac:dyDescent="0.25">
      <c r="A244" s="33"/>
      <c r="B244" s="33"/>
      <c r="C244" s="34"/>
      <c r="D244" s="33"/>
      <c r="E244" s="19"/>
    </row>
    <row r="245" spans="1:5" ht="30" customHeight="1" x14ac:dyDescent="0.25">
      <c r="A245" s="33"/>
      <c r="B245" s="33"/>
      <c r="C245" s="34"/>
      <c r="D245" s="33"/>
      <c r="E245" s="19"/>
    </row>
    <row r="246" spans="1:5" ht="30" customHeight="1" x14ac:dyDescent="0.25">
      <c r="A246" s="33"/>
      <c r="B246" s="33"/>
      <c r="C246" s="34"/>
      <c r="D246" s="33"/>
      <c r="E246" s="19"/>
    </row>
    <row r="247" spans="1:5" ht="30" customHeight="1" x14ac:dyDescent="0.25">
      <c r="A247" s="33"/>
      <c r="B247" s="33"/>
      <c r="C247" s="34"/>
      <c r="D247" s="33"/>
      <c r="E247" s="19"/>
    </row>
    <row r="248" spans="1:5" ht="30" customHeight="1" x14ac:dyDescent="0.25">
      <c r="A248" s="33"/>
      <c r="B248" s="36"/>
      <c r="C248" s="34"/>
      <c r="D248" s="33"/>
      <c r="E248" s="19"/>
    </row>
    <row r="249" spans="1:5" ht="30" customHeight="1" x14ac:dyDescent="0.25">
      <c r="A249" s="33"/>
      <c r="B249" s="33"/>
      <c r="C249" s="35"/>
      <c r="D249" s="33"/>
      <c r="E249" s="19"/>
    </row>
    <row r="250" spans="1:5" ht="30" customHeight="1" x14ac:dyDescent="0.25">
      <c r="A250" s="33"/>
      <c r="B250" s="33"/>
      <c r="C250" s="35"/>
      <c r="D250" s="33"/>
      <c r="E250" s="19"/>
    </row>
    <row r="251" spans="1:5" ht="30" customHeight="1" x14ac:dyDescent="0.25">
      <c r="A251" s="33"/>
      <c r="B251" s="33"/>
      <c r="C251" s="35"/>
      <c r="D251" s="33"/>
      <c r="E251" s="19"/>
    </row>
    <row r="252" spans="1:5" ht="30" customHeight="1" x14ac:dyDescent="0.25">
      <c r="A252" s="33"/>
      <c r="B252" s="33"/>
      <c r="C252" s="35"/>
      <c r="D252" s="33"/>
      <c r="E252" s="19"/>
    </row>
    <row r="253" spans="1:5" ht="30" customHeight="1" x14ac:dyDescent="0.25">
      <c r="A253" s="33"/>
      <c r="B253" s="33"/>
      <c r="C253" s="35"/>
      <c r="D253" s="33"/>
      <c r="E253" s="19"/>
    </row>
    <row r="254" spans="1:5" ht="30" customHeight="1" x14ac:dyDescent="0.25">
      <c r="A254" s="33"/>
      <c r="B254" s="33"/>
      <c r="C254" s="35"/>
      <c r="D254" s="33"/>
      <c r="E254" s="19"/>
    </row>
    <row r="255" spans="1:5" ht="30" customHeight="1" x14ac:dyDescent="0.25">
      <c r="A255" s="33"/>
      <c r="B255" s="33"/>
      <c r="C255" s="35"/>
      <c r="D255" s="33"/>
      <c r="E255" s="19"/>
    </row>
    <row r="256" spans="1:5" ht="30" customHeight="1" x14ac:dyDescent="0.25">
      <c r="A256" s="37"/>
      <c r="B256" s="37"/>
      <c r="C256" s="11"/>
      <c r="D256" s="5"/>
      <c r="E256" s="19"/>
    </row>
    <row r="257" spans="1:5" ht="30" customHeight="1" x14ac:dyDescent="0.25">
      <c r="A257" s="37"/>
      <c r="B257" s="37"/>
      <c r="C257" s="5"/>
      <c r="D257" s="5"/>
      <c r="E257" s="19"/>
    </row>
    <row r="258" spans="1:5" ht="30" customHeight="1" x14ac:dyDescent="0.25">
      <c r="A258" s="37"/>
      <c r="B258" s="37"/>
      <c r="C258" s="11"/>
      <c r="D258" s="5"/>
      <c r="E258" s="19"/>
    </row>
    <row r="259" spans="1:5" ht="30" customHeight="1" x14ac:dyDescent="0.25">
      <c r="A259" s="37"/>
      <c r="B259" s="37"/>
      <c r="C259" s="11"/>
      <c r="D259" s="5"/>
      <c r="E259" s="19"/>
    </row>
    <row r="260" spans="1:5" ht="30" customHeight="1" x14ac:dyDescent="0.25">
      <c r="A260" s="5"/>
      <c r="B260" s="5"/>
      <c r="C260" s="37"/>
      <c r="D260" s="5"/>
      <c r="E260" s="19"/>
    </row>
    <row r="261" spans="1:5" ht="30" customHeight="1" x14ac:dyDescent="0.25">
      <c r="A261" s="37"/>
      <c r="B261" s="5"/>
      <c r="C261" s="37"/>
      <c r="D261" s="5"/>
      <c r="E261" s="19"/>
    </row>
    <row r="262" spans="1:5" ht="30" customHeight="1" x14ac:dyDescent="0.25">
      <c r="A262" s="37"/>
      <c r="B262" s="5"/>
      <c r="C262" s="37"/>
      <c r="D262" s="5"/>
      <c r="E262" s="19"/>
    </row>
    <row r="263" spans="1:5" ht="30" customHeight="1" x14ac:dyDescent="0.25">
      <c r="A263" s="37"/>
      <c r="B263" s="13"/>
      <c r="C263" s="37"/>
      <c r="D263" s="5"/>
      <c r="E263" s="19"/>
    </row>
    <row r="264" spans="1:5" ht="30" customHeight="1" x14ac:dyDescent="0.25">
      <c r="A264" s="37"/>
      <c r="B264" s="13"/>
      <c r="C264" s="37"/>
      <c r="D264" s="5"/>
      <c r="E264" s="19"/>
    </row>
    <row r="265" spans="1:5" ht="30" customHeight="1" x14ac:dyDescent="0.25">
      <c r="A265" s="37"/>
      <c r="B265" s="37"/>
      <c r="C265" s="37"/>
      <c r="D265" s="5"/>
      <c r="E265" s="19"/>
    </row>
    <row r="266" spans="1:5" ht="30" customHeight="1" x14ac:dyDescent="0.25">
      <c r="A266" s="37"/>
      <c r="B266" s="37"/>
      <c r="C266" s="37"/>
      <c r="D266" s="5"/>
      <c r="E266" s="19"/>
    </row>
    <row r="267" spans="1:5" ht="30" customHeight="1" x14ac:dyDescent="0.25">
      <c r="A267" s="37"/>
      <c r="B267" s="37"/>
      <c r="C267" s="11"/>
      <c r="D267" s="5"/>
      <c r="E267" s="19"/>
    </row>
    <row r="268" spans="1:5" ht="30" customHeight="1" x14ac:dyDescent="0.25">
      <c r="A268" s="37"/>
      <c r="B268" s="11"/>
      <c r="C268" s="11"/>
      <c r="D268" s="5"/>
      <c r="E268" s="19"/>
    </row>
    <row r="269" spans="1:5" ht="30" customHeight="1" x14ac:dyDescent="0.25">
      <c r="A269" s="37"/>
      <c r="B269" s="11"/>
      <c r="C269" s="11"/>
      <c r="D269" s="5"/>
      <c r="E269" s="19"/>
    </row>
    <row r="270" spans="1:5" ht="30" customHeight="1" x14ac:dyDescent="0.25">
      <c r="A270" s="37"/>
      <c r="B270" s="5"/>
      <c r="C270" s="5"/>
      <c r="D270" s="5"/>
      <c r="E270" s="19"/>
    </row>
    <row r="271" spans="1:5" ht="30" customHeight="1" x14ac:dyDescent="0.25">
      <c r="A271" s="37"/>
      <c r="B271" s="37"/>
      <c r="C271" s="5"/>
      <c r="D271" s="5"/>
      <c r="E271" s="19"/>
    </row>
    <row r="272" spans="1:5" ht="30" customHeight="1" x14ac:dyDescent="0.25">
      <c r="A272" s="37"/>
      <c r="B272" s="37"/>
      <c r="C272" s="37"/>
      <c r="D272" s="5"/>
      <c r="E272" s="19"/>
    </row>
    <row r="273" spans="1:5" ht="30" customHeight="1" x14ac:dyDescent="0.25">
      <c r="A273" s="37"/>
      <c r="B273" s="37"/>
      <c r="C273" s="37"/>
      <c r="D273" s="5"/>
      <c r="E273" s="19"/>
    </row>
    <row r="274" spans="1:5" ht="30" customHeight="1" x14ac:dyDescent="0.25">
      <c r="A274" s="37"/>
      <c r="B274" s="38"/>
      <c r="C274" s="37"/>
      <c r="D274" s="5"/>
      <c r="E274" s="19"/>
    </row>
    <row r="275" spans="1:5" ht="30" customHeight="1" x14ac:dyDescent="0.25">
      <c r="A275" s="37"/>
      <c r="B275" s="11"/>
      <c r="C275" s="37"/>
      <c r="D275" s="5"/>
      <c r="E275" s="19"/>
    </row>
    <row r="276" spans="1:5" ht="30" customHeight="1" x14ac:dyDescent="0.25">
      <c r="A276" s="37"/>
      <c r="B276" s="37"/>
      <c r="C276" s="37"/>
      <c r="D276" s="5"/>
      <c r="E276" s="19"/>
    </row>
    <row r="277" spans="1:5" ht="30" customHeight="1" x14ac:dyDescent="0.25">
      <c r="A277" s="37"/>
      <c r="B277" s="11"/>
      <c r="C277" s="37"/>
      <c r="D277" s="5"/>
      <c r="E277" s="19"/>
    </row>
    <row r="278" spans="1:5" ht="30" customHeight="1" x14ac:dyDescent="0.25">
      <c r="A278" s="37"/>
      <c r="B278" s="11"/>
      <c r="C278" s="37"/>
      <c r="D278" s="5"/>
      <c r="E278" s="19"/>
    </row>
    <row r="279" spans="1:5" ht="30" customHeight="1" x14ac:dyDescent="0.25">
      <c r="A279" s="37"/>
      <c r="B279" s="11"/>
      <c r="C279" s="37"/>
      <c r="D279" s="5"/>
      <c r="E279" s="19"/>
    </row>
    <row r="280" spans="1:5" ht="30" customHeight="1" x14ac:dyDescent="0.25">
      <c r="A280" s="37"/>
      <c r="B280" s="11"/>
      <c r="C280" s="37"/>
      <c r="D280" s="5"/>
      <c r="E280" s="19"/>
    </row>
    <row r="281" spans="1:5" ht="30" customHeight="1" x14ac:dyDescent="0.25">
      <c r="A281" s="37"/>
      <c r="B281" s="11"/>
      <c r="C281" s="37"/>
      <c r="D281" s="5"/>
      <c r="E281" s="19"/>
    </row>
    <row r="282" spans="1:5" ht="30" customHeight="1" x14ac:dyDescent="0.25">
      <c r="A282" s="37"/>
      <c r="B282" s="11"/>
      <c r="C282" s="37"/>
      <c r="D282" s="5"/>
      <c r="E282" s="19"/>
    </row>
    <row r="283" spans="1:5" ht="30" customHeight="1" x14ac:dyDescent="0.25">
      <c r="A283" s="37"/>
      <c r="B283" s="11"/>
      <c r="C283" s="37"/>
      <c r="D283" s="5"/>
      <c r="E283" s="19"/>
    </row>
    <row r="284" spans="1:5" ht="30" customHeight="1" x14ac:dyDescent="0.25">
      <c r="A284" s="20"/>
      <c r="B284" s="5"/>
      <c r="C284" s="39"/>
      <c r="D284" s="5"/>
      <c r="E284" s="19"/>
    </row>
    <row r="285" spans="1:5" ht="30" customHeight="1" x14ac:dyDescent="0.25">
      <c r="A285" s="5"/>
      <c r="B285" s="5"/>
      <c r="C285" s="11"/>
      <c r="D285" s="5"/>
      <c r="E285" s="19"/>
    </row>
    <row r="286" spans="1:5" ht="30" customHeight="1" x14ac:dyDescent="0.25">
      <c r="A286" s="5"/>
      <c r="B286" s="5"/>
      <c r="C286" s="11"/>
      <c r="D286" s="5"/>
      <c r="E286" s="19"/>
    </row>
    <row r="287" spans="1:5" ht="30" customHeight="1" x14ac:dyDescent="0.25">
      <c r="A287" s="5"/>
      <c r="B287" s="5"/>
      <c r="C287" s="11"/>
      <c r="D287" s="5"/>
      <c r="E287" s="19"/>
    </row>
    <row r="288" spans="1:5" ht="30" customHeight="1" x14ac:dyDescent="0.25">
      <c r="A288" s="5"/>
      <c r="B288" s="5"/>
      <c r="C288" s="11"/>
      <c r="D288" s="5"/>
      <c r="E288" s="19"/>
    </row>
    <row r="289" spans="1:5" ht="30" customHeight="1" x14ac:dyDescent="0.25">
      <c r="A289" s="5"/>
      <c r="B289" s="5"/>
      <c r="C289" s="11"/>
      <c r="D289" s="5"/>
      <c r="E289" s="19"/>
    </row>
    <row r="290" spans="1:5" ht="30" customHeight="1" x14ac:dyDescent="0.25">
      <c r="A290" s="5"/>
      <c r="B290" s="5"/>
      <c r="C290" s="11"/>
      <c r="D290" s="5"/>
      <c r="E290" s="19"/>
    </row>
    <row r="291" spans="1:5" ht="30" customHeight="1" x14ac:dyDescent="0.25">
      <c r="A291" s="5"/>
      <c r="B291" s="5"/>
      <c r="C291" s="11"/>
      <c r="D291" s="5"/>
      <c r="E291" s="19"/>
    </row>
    <row r="292" spans="1:5" ht="30" customHeight="1" x14ac:dyDescent="0.25">
      <c r="A292" s="5"/>
      <c r="B292" s="5"/>
      <c r="C292" s="11"/>
      <c r="D292" s="5"/>
      <c r="E292" s="19"/>
    </row>
    <row r="293" spans="1:5" ht="30" customHeight="1" x14ac:dyDescent="0.25">
      <c r="A293" s="5"/>
      <c r="B293" s="5"/>
      <c r="C293" s="11"/>
      <c r="D293" s="5"/>
      <c r="E293" s="19"/>
    </row>
    <row r="294" spans="1:5" ht="30" customHeight="1" x14ac:dyDescent="0.25">
      <c r="A294" s="5"/>
      <c r="B294" s="5"/>
      <c r="C294" s="11"/>
      <c r="D294" s="5"/>
      <c r="E294" s="19"/>
    </row>
    <row r="295" spans="1:5" ht="30" customHeight="1" x14ac:dyDescent="0.25">
      <c r="A295" s="5"/>
      <c r="B295" s="5"/>
      <c r="C295" s="11"/>
      <c r="D295" s="5"/>
      <c r="E295" s="19"/>
    </row>
    <row r="296" spans="1:5" ht="30" customHeight="1" x14ac:dyDescent="0.25">
      <c r="A296" s="5"/>
      <c r="B296" s="5"/>
      <c r="C296" s="11"/>
      <c r="D296" s="5"/>
      <c r="E296" s="19"/>
    </row>
    <row r="297" spans="1:5" ht="30" customHeight="1" x14ac:dyDescent="0.25">
      <c r="A297" s="5"/>
      <c r="B297" s="5"/>
      <c r="C297" s="11"/>
      <c r="D297" s="5"/>
      <c r="E297" s="19"/>
    </row>
    <row r="298" spans="1:5" ht="30" customHeight="1" x14ac:dyDescent="0.25">
      <c r="A298" s="5"/>
      <c r="B298" s="5"/>
      <c r="C298" s="11"/>
      <c r="D298" s="5"/>
      <c r="E298" s="19"/>
    </row>
    <row r="299" spans="1:5" ht="30" customHeight="1" x14ac:dyDescent="0.25">
      <c r="A299" s="5"/>
      <c r="B299" s="5"/>
      <c r="C299" s="11"/>
      <c r="D299" s="5"/>
      <c r="E299" s="19"/>
    </row>
    <row r="300" spans="1:5" ht="30" customHeight="1" x14ac:dyDescent="0.25">
      <c r="A300" s="5"/>
      <c r="B300" s="5"/>
      <c r="C300" s="11"/>
      <c r="D300" s="5"/>
      <c r="E300" s="19"/>
    </row>
    <row r="301" spans="1:5" ht="30" customHeight="1" x14ac:dyDescent="0.25">
      <c r="A301" s="5"/>
      <c r="B301" s="5"/>
      <c r="C301" s="11"/>
      <c r="D301" s="5"/>
      <c r="E301" s="19"/>
    </row>
    <row r="302" spans="1:5" ht="30" customHeight="1" x14ac:dyDescent="0.25">
      <c r="A302" s="5"/>
      <c r="B302" s="5"/>
      <c r="C302" s="11"/>
      <c r="D302" s="5"/>
      <c r="E302" s="19"/>
    </row>
    <row r="303" spans="1:5" ht="30" customHeight="1" x14ac:dyDescent="0.25">
      <c r="A303" s="5"/>
      <c r="B303" s="5"/>
      <c r="C303" s="11"/>
      <c r="D303" s="5"/>
      <c r="E303" s="19"/>
    </row>
    <row r="304" spans="1:5" ht="30" customHeight="1" x14ac:dyDescent="0.25">
      <c r="A304" s="5"/>
      <c r="B304" s="5"/>
      <c r="C304" s="11"/>
      <c r="D304" s="5"/>
      <c r="E304" s="19"/>
    </row>
    <row r="305" spans="1:5" ht="30" customHeight="1" x14ac:dyDescent="0.25">
      <c r="A305" s="5"/>
      <c r="B305" s="5"/>
      <c r="C305" s="11"/>
      <c r="D305" s="5"/>
      <c r="E305" s="19"/>
    </row>
    <row r="306" spans="1:5" ht="30" customHeight="1" x14ac:dyDescent="0.25">
      <c r="A306" s="5"/>
      <c r="B306" s="5"/>
      <c r="C306" s="11"/>
      <c r="D306" s="5"/>
      <c r="E306" s="19"/>
    </row>
    <row r="307" spans="1:5" ht="30" customHeight="1" x14ac:dyDescent="0.25">
      <c r="A307" s="5"/>
      <c r="B307" s="5"/>
      <c r="C307" s="11"/>
      <c r="D307" s="5"/>
      <c r="E307" s="19"/>
    </row>
    <row r="308" spans="1:5" ht="30" customHeight="1" x14ac:dyDescent="0.25">
      <c r="A308" s="5"/>
      <c r="B308" s="5"/>
      <c r="C308" s="11"/>
      <c r="D308" s="5"/>
      <c r="E308" s="19"/>
    </row>
    <row r="309" spans="1:5" ht="30" customHeight="1" x14ac:dyDescent="0.25">
      <c r="A309" s="5"/>
      <c r="B309" s="5"/>
      <c r="C309" s="11"/>
      <c r="D309" s="5"/>
      <c r="E309" s="19"/>
    </row>
    <row r="310" spans="1:5" ht="30" customHeight="1" x14ac:dyDescent="0.25">
      <c r="A310" s="5"/>
      <c r="B310" s="5"/>
      <c r="C310" s="11"/>
      <c r="D310" s="5"/>
      <c r="E310" s="19"/>
    </row>
    <row r="311" spans="1:5" ht="30" customHeight="1" x14ac:dyDescent="0.25">
      <c r="A311" s="5"/>
      <c r="B311" s="5"/>
      <c r="C311" s="11"/>
      <c r="D311" s="5"/>
      <c r="E311" s="19"/>
    </row>
    <row r="312" spans="1:5" ht="30" customHeight="1" x14ac:dyDescent="0.25">
      <c r="A312" s="5"/>
      <c r="B312" s="5"/>
      <c r="C312" s="11"/>
      <c r="D312" s="5"/>
      <c r="E312" s="19"/>
    </row>
    <row r="313" spans="1:5" ht="30" customHeight="1" x14ac:dyDescent="0.25">
      <c r="A313" s="5"/>
      <c r="B313" s="5"/>
      <c r="C313" s="11"/>
      <c r="D313" s="5"/>
      <c r="E313" s="19"/>
    </row>
    <row r="314" spans="1:5" ht="30" customHeight="1" x14ac:dyDescent="0.25">
      <c r="A314" s="5"/>
      <c r="B314" s="5"/>
      <c r="C314" s="11"/>
      <c r="D314" s="5"/>
      <c r="E314" s="19"/>
    </row>
    <row r="315" spans="1:5" ht="30" customHeight="1" x14ac:dyDescent="0.25">
      <c r="A315" s="5"/>
      <c r="B315" s="5"/>
      <c r="C315" s="11"/>
      <c r="D315" s="5"/>
      <c r="E315" s="19"/>
    </row>
    <row r="316" spans="1:5" ht="30" customHeight="1" x14ac:dyDescent="0.25">
      <c r="A316" s="5"/>
      <c r="B316" s="5"/>
      <c r="C316" s="11"/>
      <c r="D316" s="5"/>
      <c r="E316" s="19"/>
    </row>
    <row r="317" spans="1:5" ht="30" customHeight="1" x14ac:dyDescent="0.25">
      <c r="A317" s="5"/>
      <c r="B317" s="5"/>
      <c r="C317" s="11"/>
      <c r="D317" s="5"/>
      <c r="E317" s="19"/>
    </row>
    <row r="318" spans="1:5" ht="30" customHeight="1" x14ac:dyDescent="0.25">
      <c r="A318" s="5"/>
      <c r="B318" s="5"/>
      <c r="C318" s="21"/>
      <c r="D318" s="5"/>
      <c r="E318" s="19"/>
    </row>
    <row r="319" spans="1:5" ht="30" customHeight="1" x14ac:dyDescent="0.25">
      <c r="A319" s="5"/>
      <c r="B319" s="5"/>
      <c r="C319" s="11"/>
      <c r="D319" s="5"/>
      <c r="E319" s="19"/>
    </row>
    <row r="320" spans="1:5" ht="30" customHeight="1" x14ac:dyDescent="0.25">
      <c r="A320" s="5"/>
      <c r="B320" s="5"/>
      <c r="C320" s="5"/>
      <c r="D320" s="5"/>
      <c r="E320" s="19"/>
    </row>
    <row r="321" spans="1:5" ht="30" customHeight="1" x14ac:dyDescent="0.25">
      <c r="A321" s="5"/>
      <c r="B321" s="5"/>
      <c r="C321" s="5"/>
      <c r="D321" s="5"/>
      <c r="E321" s="19"/>
    </row>
    <row r="322" spans="1:5" ht="30" customHeight="1" x14ac:dyDescent="0.25">
      <c r="A322" s="5"/>
      <c r="B322" s="5"/>
      <c r="C322" s="5"/>
      <c r="D322" s="5"/>
      <c r="E322" s="19"/>
    </row>
    <row r="323" spans="1:5" ht="30" customHeight="1" x14ac:dyDescent="0.25">
      <c r="A323" s="5"/>
      <c r="B323" s="5"/>
      <c r="C323" s="5"/>
      <c r="D323" s="5"/>
      <c r="E323" s="19"/>
    </row>
    <row r="324" spans="1:5" ht="30" customHeight="1" x14ac:dyDescent="0.25">
      <c r="A324" s="5"/>
      <c r="B324" s="5"/>
      <c r="C324" s="21"/>
      <c r="D324" s="5"/>
      <c r="E324" s="19"/>
    </row>
    <row r="325" spans="1:5" ht="30" customHeight="1" x14ac:dyDescent="0.25">
      <c r="A325" s="5"/>
      <c r="B325" s="5"/>
      <c r="C325" s="21"/>
      <c r="D325" s="5"/>
      <c r="E325" s="19"/>
    </row>
    <row r="326" spans="1:5" ht="30" customHeight="1" x14ac:dyDescent="0.25">
      <c r="A326" s="5"/>
      <c r="B326" s="5"/>
      <c r="C326" s="21"/>
      <c r="D326" s="5"/>
      <c r="E326" s="19"/>
    </row>
    <row r="327" spans="1:5" ht="30" customHeight="1" x14ac:dyDescent="0.25">
      <c r="A327" s="5"/>
      <c r="B327" s="5"/>
      <c r="C327" s="21"/>
      <c r="D327" s="5"/>
      <c r="E327" s="19"/>
    </row>
    <row r="328" spans="1:5" ht="30" customHeight="1" x14ac:dyDescent="0.25">
      <c r="A328" s="5"/>
      <c r="B328" s="5"/>
      <c r="C328" s="21"/>
      <c r="D328" s="5"/>
      <c r="E328" s="19"/>
    </row>
    <row r="329" spans="1:5" ht="30" customHeight="1" x14ac:dyDescent="0.25">
      <c r="A329" s="5"/>
      <c r="B329" s="5"/>
      <c r="C329" s="21"/>
      <c r="D329" s="5"/>
      <c r="E329" s="19"/>
    </row>
    <row r="330" spans="1:5" ht="30" customHeight="1" x14ac:dyDescent="0.25">
      <c r="A330" s="5"/>
      <c r="B330" s="5"/>
      <c r="C330" s="5"/>
      <c r="D330" s="5"/>
      <c r="E330" s="19"/>
    </row>
    <row r="331" spans="1:5" ht="30" customHeight="1" x14ac:dyDescent="0.25">
      <c r="A331" s="5"/>
      <c r="B331" s="5"/>
      <c r="C331" s="5"/>
      <c r="D331" s="5"/>
      <c r="E331" s="19"/>
    </row>
    <row r="332" spans="1:5" ht="30" customHeight="1" x14ac:dyDescent="0.25">
      <c r="A332" s="5"/>
      <c r="B332" s="5"/>
      <c r="C332" s="5"/>
      <c r="D332" s="5"/>
      <c r="E332" s="19"/>
    </row>
    <row r="333" spans="1:5" ht="30" customHeight="1" x14ac:dyDescent="0.25">
      <c r="A333" s="5"/>
      <c r="B333" s="5"/>
      <c r="C333" s="5"/>
      <c r="D333" s="5"/>
      <c r="E333" s="19"/>
    </row>
    <row r="334" spans="1:5" ht="30" customHeight="1" x14ac:dyDescent="0.25">
      <c r="A334" s="5"/>
      <c r="B334" s="5"/>
      <c r="C334" s="5"/>
      <c r="D334" s="5"/>
      <c r="E334" s="19"/>
    </row>
    <row r="335" spans="1:5" ht="30" customHeight="1" x14ac:dyDescent="0.25">
      <c r="A335" s="5"/>
      <c r="B335" s="5"/>
      <c r="C335" s="5"/>
      <c r="D335" s="5"/>
      <c r="E335" s="19"/>
    </row>
    <row r="336" spans="1:5" ht="30" customHeight="1" x14ac:dyDescent="0.25">
      <c r="A336" s="5"/>
      <c r="B336" s="5"/>
      <c r="C336" s="21"/>
      <c r="D336" s="5"/>
      <c r="E336" s="19"/>
    </row>
    <row r="337" spans="1:5" ht="30" customHeight="1" x14ac:dyDescent="0.25">
      <c r="A337" s="5"/>
      <c r="B337" s="5"/>
      <c r="C337" s="5"/>
      <c r="D337" s="5"/>
      <c r="E337" s="19"/>
    </row>
    <row r="338" spans="1:5" ht="30" customHeight="1" x14ac:dyDescent="0.25">
      <c r="A338" s="5"/>
      <c r="B338" s="5"/>
      <c r="C338" s="5"/>
      <c r="D338" s="5"/>
      <c r="E338" s="19"/>
    </row>
    <row r="339" spans="1:5" ht="30" customHeight="1" x14ac:dyDescent="0.25">
      <c r="A339" s="5"/>
      <c r="B339" s="5"/>
      <c r="C339" s="5"/>
      <c r="D339" s="5"/>
      <c r="E339" s="19"/>
    </row>
    <row r="340" spans="1:5" ht="30" customHeight="1" x14ac:dyDescent="0.25">
      <c r="A340" s="5"/>
      <c r="B340" s="5"/>
      <c r="C340" s="5"/>
      <c r="D340" s="5"/>
      <c r="E340" s="19"/>
    </row>
    <row r="341" spans="1:5" ht="30" customHeight="1" x14ac:dyDescent="0.25">
      <c r="A341" s="5"/>
      <c r="B341" s="5"/>
      <c r="C341" s="5"/>
      <c r="D341" s="5"/>
      <c r="E341" s="19"/>
    </row>
    <row r="342" spans="1:5" ht="30" customHeight="1" x14ac:dyDescent="0.25">
      <c r="A342" s="5"/>
      <c r="B342" s="5"/>
      <c r="C342" s="5"/>
      <c r="D342" s="5"/>
      <c r="E342" s="19"/>
    </row>
    <row r="343" spans="1:5" ht="30" customHeight="1" x14ac:dyDescent="0.25">
      <c r="A343" s="5"/>
      <c r="B343" s="5"/>
      <c r="C343" s="5"/>
      <c r="D343" s="5"/>
      <c r="E343" s="19"/>
    </row>
    <row r="344" spans="1:5" ht="30" customHeight="1" x14ac:dyDescent="0.25">
      <c r="A344" s="5"/>
      <c r="B344" s="5"/>
      <c r="C344" s="5"/>
      <c r="D344" s="5"/>
      <c r="E344" s="19"/>
    </row>
    <row r="345" spans="1:5" ht="30" customHeight="1" x14ac:dyDescent="0.25">
      <c r="A345" s="5"/>
      <c r="B345" s="5"/>
      <c r="C345" s="5"/>
      <c r="D345" s="5"/>
      <c r="E345" s="19"/>
    </row>
    <row r="346" spans="1:5" ht="30" customHeight="1" x14ac:dyDescent="0.25">
      <c r="A346" s="5"/>
      <c r="B346" s="5"/>
      <c r="C346" s="5"/>
      <c r="D346" s="5"/>
      <c r="E346" s="19"/>
    </row>
    <row r="347" spans="1:5" ht="30" customHeight="1" x14ac:dyDescent="0.25">
      <c r="A347" s="5"/>
      <c r="B347" s="5"/>
      <c r="C347" s="5"/>
      <c r="D347" s="5"/>
      <c r="E347" s="19"/>
    </row>
    <row r="348" spans="1:5" ht="57.75" customHeight="1" x14ac:dyDescent="0.25">
      <c r="A348" s="5"/>
      <c r="B348" s="5"/>
      <c r="C348" s="5"/>
      <c r="D348" s="5"/>
      <c r="E348" s="19"/>
    </row>
    <row r="349" spans="1:5" ht="30" customHeight="1" x14ac:dyDescent="0.25">
      <c r="A349" s="5"/>
      <c r="B349" s="5"/>
      <c r="C349" s="5"/>
      <c r="D349" s="5"/>
      <c r="E349" s="19"/>
    </row>
    <row r="350" spans="1:5" ht="30" customHeight="1" x14ac:dyDescent="0.25">
      <c r="A350" s="5"/>
      <c r="B350" s="5"/>
      <c r="C350" s="5"/>
      <c r="D350" s="5"/>
      <c r="E350" s="19"/>
    </row>
    <row r="351" spans="1:5" x14ac:dyDescent="0.25">
      <c r="A351" s="5"/>
      <c r="B351" s="5"/>
      <c r="C351" s="21"/>
      <c r="D351" s="5"/>
      <c r="E351" s="19"/>
    </row>
    <row r="352" spans="1:5" x14ac:dyDescent="0.25">
      <c r="A352" s="5"/>
      <c r="B352" s="5"/>
      <c r="C352" s="21"/>
      <c r="D352" s="5"/>
      <c r="E352" s="19"/>
    </row>
    <row r="353" spans="1:5" x14ac:dyDescent="0.25">
      <c r="A353" s="5"/>
      <c r="B353" s="5"/>
      <c r="C353" s="21"/>
      <c r="D353" s="5"/>
      <c r="E353" s="19"/>
    </row>
    <row r="354" spans="1:5" x14ac:dyDescent="0.25">
      <c r="A354" s="5"/>
      <c r="B354" s="5"/>
      <c r="C354" s="21"/>
      <c r="D354" s="5"/>
      <c r="E354" s="19"/>
    </row>
    <row r="355" spans="1:5" ht="30" customHeight="1" x14ac:dyDescent="0.25">
      <c r="A355" s="5"/>
      <c r="B355" s="5"/>
      <c r="C355" s="5"/>
      <c r="D355" s="5"/>
      <c r="E355" s="19"/>
    </row>
    <row r="356" spans="1:5" ht="30" customHeight="1" x14ac:dyDescent="0.25">
      <c r="A356" s="5"/>
      <c r="B356" s="5"/>
      <c r="C356" s="5"/>
      <c r="D356" s="5"/>
      <c r="E356" s="19"/>
    </row>
    <row r="357" spans="1:5" ht="30" customHeight="1" x14ac:dyDescent="0.25">
      <c r="A357" s="5"/>
      <c r="B357" s="5"/>
      <c r="C357" s="5"/>
      <c r="D357" s="5"/>
      <c r="E357" s="19"/>
    </row>
    <row r="358" spans="1:5" ht="30" customHeight="1" x14ac:dyDescent="0.25">
      <c r="A358" s="5"/>
      <c r="B358" s="5"/>
      <c r="C358" s="5"/>
      <c r="D358" s="5"/>
      <c r="E358" s="19"/>
    </row>
    <row r="359" spans="1:5" ht="30" customHeight="1" x14ac:dyDescent="0.25">
      <c r="A359" s="5"/>
      <c r="B359" s="5"/>
      <c r="C359" s="5"/>
      <c r="D359" s="5"/>
      <c r="E359" s="19"/>
    </row>
    <row r="360" spans="1:5" x14ac:dyDescent="0.25">
      <c r="A360" s="5"/>
      <c r="B360" s="5"/>
      <c r="C360" s="21"/>
      <c r="D360" s="5"/>
      <c r="E360" s="19"/>
    </row>
    <row r="361" spans="1:5" ht="30" customHeight="1" x14ac:dyDescent="0.25">
      <c r="A361" s="5"/>
      <c r="B361" s="5"/>
      <c r="C361" s="5"/>
      <c r="D361" s="5"/>
      <c r="E361" s="19"/>
    </row>
    <row r="362" spans="1:5" ht="30" customHeight="1" x14ac:dyDescent="0.25">
      <c r="A362" s="5"/>
      <c r="B362" s="5"/>
      <c r="C362" s="5"/>
      <c r="D362" s="5"/>
      <c r="E362" s="19"/>
    </row>
    <row r="363" spans="1:5" x14ac:dyDescent="0.25">
      <c r="A363" s="5"/>
      <c r="B363" s="5"/>
      <c r="C363" s="21"/>
      <c r="D363" s="5"/>
      <c r="E363" s="19"/>
    </row>
    <row r="364" spans="1:5" x14ac:dyDescent="0.25">
      <c r="A364" s="5"/>
      <c r="B364" s="5"/>
      <c r="C364" s="21"/>
      <c r="D364" s="5"/>
      <c r="E364" s="19"/>
    </row>
    <row r="365" spans="1:5" ht="30" customHeight="1" x14ac:dyDescent="0.25">
      <c r="A365" s="5"/>
      <c r="B365" s="5"/>
      <c r="C365" s="21"/>
      <c r="D365" s="5"/>
      <c r="E365" s="19"/>
    </row>
    <row r="366" spans="1:5" ht="30" customHeight="1" x14ac:dyDescent="0.25">
      <c r="A366" s="5"/>
      <c r="B366" s="5"/>
      <c r="C366" s="5"/>
      <c r="D366" s="5"/>
      <c r="E366" s="19"/>
    </row>
    <row r="367" spans="1:5" ht="30" customHeight="1" x14ac:dyDescent="0.25">
      <c r="A367" s="5"/>
      <c r="B367" s="5"/>
      <c r="C367" s="5"/>
      <c r="D367" s="5"/>
      <c r="E367" s="19"/>
    </row>
    <row r="368" spans="1:5" ht="30" customHeight="1" x14ac:dyDescent="0.25">
      <c r="A368" s="5"/>
      <c r="B368" s="5"/>
      <c r="C368" s="5"/>
      <c r="D368" s="5"/>
      <c r="E368" s="19"/>
    </row>
    <row r="369" spans="1:5" ht="30" customHeight="1" x14ac:dyDescent="0.25">
      <c r="A369" s="5"/>
      <c r="B369" s="5"/>
      <c r="C369" s="5"/>
      <c r="D369" s="5"/>
      <c r="E369" s="19"/>
    </row>
    <row r="370" spans="1:5" ht="30" customHeight="1" x14ac:dyDescent="0.25">
      <c r="A370" s="5"/>
      <c r="B370" s="5"/>
      <c r="C370" s="5"/>
      <c r="D370" s="5"/>
      <c r="E370" s="19"/>
    </row>
    <row r="371" spans="1:5" x14ac:dyDescent="0.25">
      <c r="A371" s="5"/>
      <c r="B371" s="5"/>
      <c r="C371" s="21"/>
      <c r="D371" s="5"/>
      <c r="E371" s="19"/>
    </row>
    <row r="372" spans="1:5" ht="30" customHeight="1" x14ac:dyDescent="0.25">
      <c r="A372" s="5"/>
      <c r="B372" s="5"/>
      <c r="C372" s="5"/>
      <c r="D372" s="5"/>
      <c r="E372" s="19"/>
    </row>
    <row r="373" spans="1:5" ht="30" customHeight="1" x14ac:dyDescent="0.25">
      <c r="A373" s="5"/>
      <c r="B373" s="5"/>
      <c r="C373" s="5"/>
      <c r="D373" s="5"/>
      <c r="E373" s="19"/>
    </row>
    <row r="374" spans="1:5" ht="30" customHeight="1" x14ac:dyDescent="0.25">
      <c r="A374" s="5"/>
      <c r="B374" s="5"/>
      <c r="C374" s="5"/>
      <c r="D374" s="5"/>
      <c r="E374" s="19"/>
    </row>
    <row r="375" spans="1:5" ht="30" customHeight="1" x14ac:dyDescent="0.25">
      <c r="A375" s="5"/>
      <c r="B375" s="5"/>
      <c r="C375" s="5"/>
      <c r="D375" s="5"/>
      <c r="E375" s="19"/>
    </row>
    <row r="376" spans="1:5" ht="30" customHeight="1" x14ac:dyDescent="0.25">
      <c r="A376" s="5"/>
      <c r="B376" s="5"/>
      <c r="C376" s="21"/>
      <c r="D376" s="5"/>
      <c r="E376" s="19"/>
    </row>
    <row r="377" spans="1:5" ht="30" customHeight="1" x14ac:dyDescent="0.25">
      <c r="A377" s="5"/>
      <c r="B377" s="5"/>
      <c r="C377" s="11"/>
      <c r="D377" s="5"/>
      <c r="E377" s="19"/>
    </row>
    <row r="378" spans="1:5" ht="30" customHeight="1" x14ac:dyDescent="0.25">
      <c r="A378" s="5"/>
      <c r="B378" s="5"/>
      <c r="C378" s="5"/>
      <c r="D378" s="5"/>
      <c r="E378" s="19"/>
    </row>
    <row r="379" spans="1:5" ht="30" customHeight="1" x14ac:dyDescent="0.25">
      <c r="A379" s="5"/>
      <c r="B379" s="5"/>
      <c r="C379" s="5"/>
      <c r="D379" s="5"/>
      <c r="E379" s="19"/>
    </row>
    <row r="380" spans="1:5" ht="30" customHeight="1" x14ac:dyDescent="0.25">
      <c r="A380" s="5"/>
      <c r="B380" s="5"/>
      <c r="C380" s="5"/>
      <c r="D380" s="5"/>
      <c r="E380" s="19"/>
    </row>
    <row r="381" spans="1:5" ht="30" customHeight="1" x14ac:dyDescent="0.25">
      <c r="A381" s="5"/>
      <c r="B381" s="5"/>
      <c r="C381" s="5"/>
      <c r="D381" s="5"/>
      <c r="E381" s="19"/>
    </row>
    <row r="382" spans="1:5" ht="30" customHeight="1" x14ac:dyDescent="0.25">
      <c r="A382" s="5"/>
      <c r="B382" s="5"/>
      <c r="C382" s="5"/>
      <c r="D382" s="5"/>
      <c r="E382" s="19"/>
    </row>
    <row r="383" spans="1:5" ht="30" customHeight="1" x14ac:dyDescent="0.25">
      <c r="A383" s="5"/>
      <c r="B383" s="5"/>
      <c r="C383" s="5"/>
      <c r="D383" s="5"/>
      <c r="E383" s="19"/>
    </row>
    <row r="384" spans="1:5" ht="30" customHeight="1" x14ac:dyDescent="0.25">
      <c r="A384" s="5"/>
      <c r="B384" s="5"/>
      <c r="C384" s="5"/>
      <c r="D384" s="5"/>
      <c r="E384" s="19"/>
    </row>
    <row r="385" spans="1:5" ht="30" customHeight="1" x14ac:dyDescent="0.25">
      <c r="A385" s="5"/>
      <c r="B385" s="5"/>
      <c r="C385" s="5"/>
      <c r="D385" s="5"/>
      <c r="E385" s="19"/>
    </row>
    <row r="386" spans="1:5" x14ac:dyDescent="0.25">
      <c r="A386" s="5"/>
      <c r="B386" s="5"/>
      <c r="C386" s="21"/>
      <c r="D386" s="5"/>
      <c r="E386" s="19"/>
    </row>
    <row r="387" spans="1:5" ht="67.5" customHeight="1" x14ac:dyDescent="0.25">
      <c r="A387" s="5"/>
      <c r="B387" s="5"/>
      <c r="C387" s="5"/>
      <c r="D387" s="5"/>
      <c r="E387" s="19"/>
    </row>
    <row r="388" spans="1:5" ht="30" customHeight="1" x14ac:dyDescent="0.25">
      <c r="A388" s="5"/>
      <c r="B388" s="5"/>
      <c r="C388" s="5"/>
      <c r="D388" s="5"/>
      <c r="E388" s="19"/>
    </row>
    <row r="389" spans="1:5" ht="30" customHeight="1" x14ac:dyDescent="0.25">
      <c r="A389" s="5"/>
      <c r="B389" s="5"/>
      <c r="C389" s="5"/>
      <c r="D389" s="5"/>
      <c r="E389" s="19"/>
    </row>
    <row r="390" spans="1:5" ht="30" customHeight="1" x14ac:dyDescent="0.25">
      <c r="A390" s="5"/>
      <c r="B390" s="5"/>
      <c r="C390" s="5"/>
      <c r="D390" s="5"/>
      <c r="E390" s="19"/>
    </row>
    <row r="391" spans="1:5" ht="30" customHeight="1" x14ac:dyDescent="0.25">
      <c r="A391" s="5"/>
      <c r="B391" s="5"/>
      <c r="C391" s="5"/>
      <c r="D391" s="5"/>
      <c r="E391" s="19"/>
    </row>
    <row r="392" spans="1:5" x14ac:dyDescent="0.25">
      <c r="A392" s="5"/>
      <c r="B392" s="5"/>
      <c r="C392" s="21"/>
      <c r="D392" s="5"/>
      <c r="E392" s="19"/>
    </row>
    <row r="393" spans="1:5" x14ac:dyDescent="0.25">
      <c r="A393" s="5"/>
      <c r="B393" s="5"/>
      <c r="C393" s="11"/>
      <c r="D393" s="5"/>
      <c r="E393" s="19"/>
    </row>
    <row r="394" spans="1:5" x14ac:dyDescent="0.25">
      <c r="A394" s="5"/>
      <c r="B394" s="5"/>
      <c r="C394" s="21"/>
      <c r="D394" s="5"/>
      <c r="E394" s="19"/>
    </row>
    <row r="395" spans="1:5" ht="30" customHeight="1" x14ac:dyDescent="0.25">
      <c r="A395" s="40"/>
      <c r="B395" s="41"/>
      <c r="C395" s="41"/>
      <c r="D395" s="5"/>
      <c r="E395" s="19"/>
    </row>
    <row r="396" spans="1:5" ht="30" customHeight="1" x14ac:dyDescent="0.25">
      <c r="A396" s="5"/>
      <c r="B396" s="5"/>
      <c r="C396" s="5"/>
      <c r="D396" s="5"/>
      <c r="E396" s="19"/>
    </row>
    <row r="397" spans="1:5" ht="30" customHeight="1" x14ac:dyDescent="0.25">
      <c r="A397" s="5"/>
      <c r="B397" s="5"/>
      <c r="C397" s="5"/>
      <c r="D397" s="12"/>
      <c r="E397" s="19"/>
    </row>
    <row r="398" spans="1:5" ht="30" customHeight="1" x14ac:dyDescent="0.25">
      <c r="A398" s="5"/>
      <c r="B398" s="5"/>
      <c r="C398" s="5"/>
      <c r="D398" s="5"/>
      <c r="E398" s="19"/>
    </row>
    <row r="399" spans="1:5" ht="30" customHeight="1" x14ac:dyDescent="0.25">
      <c r="A399" s="5"/>
      <c r="B399" s="5"/>
      <c r="C399" s="5"/>
      <c r="D399" s="5"/>
      <c r="E399" s="19"/>
    </row>
    <row r="400" spans="1:5" ht="30" customHeight="1" x14ac:dyDescent="0.25">
      <c r="A400" s="5"/>
      <c r="B400" s="5"/>
      <c r="C400" s="5"/>
      <c r="D400" s="5"/>
      <c r="E400" s="19"/>
    </row>
    <row r="401" spans="1:5" ht="30" customHeight="1" x14ac:dyDescent="0.25">
      <c r="A401" s="5"/>
      <c r="B401" s="5"/>
      <c r="C401" s="5"/>
      <c r="D401" s="5"/>
      <c r="E401" s="19"/>
    </row>
    <row r="402" spans="1:5" ht="30" customHeight="1" x14ac:dyDescent="0.25">
      <c r="A402" s="5"/>
      <c r="B402" s="5"/>
      <c r="C402" s="5"/>
      <c r="D402" s="5"/>
      <c r="E402" s="19"/>
    </row>
    <row r="403" spans="1:5" ht="30" customHeight="1" x14ac:dyDescent="0.25">
      <c r="A403" s="5"/>
      <c r="B403" s="5"/>
      <c r="C403" s="5"/>
      <c r="D403" s="12"/>
      <c r="E403" s="19"/>
    </row>
    <row r="404" spans="1:5" ht="30" customHeight="1" x14ac:dyDescent="0.25">
      <c r="A404" s="5"/>
      <c r="B404" s="5"/>
      <c r="C404" s="5"/>
      <c r="D404" s="5"/>
      <c r="E404" s="19"/>
    </row>
    <row r="405" spans="1:5" ht="30" customHeight="1" x14ac:dyDescent="0.25">
      <c r="A405" s="5"/>
      <c r="B405" s="5"/>
      <c r="C405" s="5"/>
      <c r="D405" s="5"/>
      <c r="E405" s="19"/>
    </row>
    <row r="406" spans="1:5" ht="30" customHeight="1" x14ac:dyDescent="0.25">
      <c r="A406" s="5"/>
      <c r="B406" s="5"/>
      <c r="C406" s="5"/>
      <c r="D406" s="5"/>
      <c r="E406" s="19"/>
    </row>
    <row r="407" spans="1:5" ht="30" customHeight="1" x14ac:dyDescent="0.25">
      <c r="A407" s="5"/>
      <c r="B407" s="5"/>
      <c r="C407" s="5"/>
      <c r="D407" s="5"/>
      <c r="E407" s="19"/>
    </row>
    <row r="408" spans="1:5" ht="30" customHeight="1" x14ac:dyDescent="0.25">
      <c r="A408" s="5"/>
      <c r="B408" s="5"/>
      <c r="C408" s="5"/>
      <c r="D408" s="12"/>
      <c r="E408" s="19"/>
    </row>
    <row r="409" spans="1:5" ht="30" customHeight="1" x14ac:dyDescent="0.25">
      <c r="A409" s="5"/>
      <c r="B409" s="5"/>
      <c r="C409" s="5"/>
      <c r="D409" s="5"/>
      <c r="E409" s="19"/>
    </row>
    <row r="410" spans="1:5" ht="30" customHeight="1" x14ac:dyDescent="0.25">
      <c r="A410" s="5"/>
      <c r="B410" s="5"/>
      <c r="C410" s="5"/>
      <c r="D410" s="5"/>
      <c r="E410" s="19"/>
    </row>
    <row r="411" spans="1:5" ht="30" customHeight="1" x14ac:dyDescent="0.25">
      <c r="A411" s="5"/>
      <c r="B411" s="5"/>
      <c r="C411" s="5"/>
      <c r="D411" s="5"/>
      <c r="E411" s="19"/>
    </row>
    <row r="412" spans="1:5" ht="30" customHeight="1" x14ac:dyDescent="0.25">
      <c r="A412" s="5"/>
      <c r="B412" s="5"/>
      <c r="C412" s="5"/>
      <c r="D412" s="5"/>
      <c r="E412" s="19"/>
    </row>
    <row r="413" spans="1:5" ht="30" customHeight="1" x14ac:dyDescent="0.25">
      <c r="A413" s="5"/>
      <c r="B413" s="5"/>
      <c r="C413" s="5"/>
      <c r="D413" s="5"/>
      <c r="E413" s="19"/>
    </row>
    <row r="414" spans="1:5" ht="30" customHeight="1" x14ac:dyDescent="0.25">
      <c r="A414" s="5"/>
      <c r="B414" s="5"/>
      <c r="C414" s="5"/>
      <c r="D414" s="5"/>
      <c r="E414" s="19"/>
    </row>
    <row r="415" spans="1:5" ht="30" customHeight="1" x14ac:dyDescent="0.25">
      <c r="A415" s="5"/>
      <c r="B415" s="5"/>
      <c r="C415" s="5"/>
      <c r="D415" s="5"/>
      <c r="E415" s="19"/>
    </row>
    <row r="416" spans="1:5" ht="30" customHeight="1" x14ac:dyDescent="0.25">
      <c r="A416" s="5"/>
      <c r="B416" s="5"/>
      <c r="C416" s="5"/>
      <c r="D416" s="5"/>
      <c r="E416" s="19"/>
    </row>
    <row r="417" spans="1:5" ht="30" customHeight="1" x14ac:dyDescent="0.25">
      <c r="A417" s="5"/>
      <c r="B417" s="5"/>
      <c r="C417" s="5"/>
      <c r="D417" s="5"/>
      <c r="E417" s="19"/>
    </row>
    <row r="418" spans="1:5" ht="30" customHeight="1" x14ac:dyDescent="0.25">
      <c r="A418" s="5"/>
      <c r="B418" s="5"/>
      <c r="C418" s="5"/>
      <c r="D418" s="5"/>
      <c r="E418" s="19"/>
    </row>
    <row r="419" spans="1:5" ht="30" customHeight="1" x14ac:dyDescent="0.25">
      <c r="A419" s="5"/>
      <c r="B419" s="5"/>
      <c r="C419" s="5"/>
      <c r="D419" s="5"/>
      <c r="E419" s="19"/>
    </row>
    <row r="420" spans="1:5" ht="30" customHeight="1" x14ac:dyDescent="0.25">
      <c r="A420" s="5"/>
      <c r="B420" s="5"/>
      <c r="C420" s="5"/>
      <c r="D420" s="5"/>
      <c r="E420" s="19"/>
    </row>
    <row r="421" spans="1:5" ht="30" customHeight="1" x14ac:dyDescent="0.25">
      <c r="A421" s="5"/>
      <c r="B421" s="5"/>
      <c r="C421" s="5"/>
      <c r="D421" s="5"/>
      <c r="E421" s="19"/>
    </row>
    <row r="422" spans="1:5" ht="30" customHeight="1" x14ac:dyDescent="0.25">
      <c r="A422" s="5"/>
      <c r="B422" s="5"/>
      <c r="C422" s="5"/>
      <c r="D422" s="5"/>
      <c r="E422" s="19"/>
    </row>
    <row r="423" spans="1:5" ht="30" customHeight="1" x14ac:dyDescent="0.25">
      <c r="A423" s="5"/>
      <c r="B423" s="5"/>
      <c r="C423" s="5"/>
      <c r="D423" s="5"/>
      <c r="E423" s="19"/>
    </row>
    <row r="424" spans="1:5" ht="30" customHeight="1" x14ac:dyDescent="0.25">
      <c r="A424" s="5"/>
      <c r="B424" s="5"/>
      <c r="C424" s="5"/>
      <c r="D424" s="5"/>
      <c r="E424" s="19"/>
    </row>
    <row r="425" spans="1:5" ht="30" customHeight="1" x14ac:dyDescent="0.25">
      <c r="A425" s="5"/>
      <c r="B425" s="5"/>
      <c r="C425" s="5"/>
      <c r="D425" s="5"/>
      <c r="E425" s="19"/>
    </row>
    <row r="426" spans="1:5" ht="30" customHeight="1" x14ac:dyDescent="0.25">
      <c r="A426" s="5"/>
      <c r="B426" s="5"/>
      <c r="C426" s="5"/>
      <c r="D426" s="5"/>
      <c r="E426" s="19"/>
    </row>
    <row r="427" spans="1:5" ht="30" customHeight="1" x14ac:dyDescent="0.25">
      <c r="A427" s="5"/>
      <c r="B427" s="5"/>
      <c r="C427" s="5"/>
      <c r="D427" s="5"/>
      <c r="E427" s="19"/>
    </row>
    <row r="428" spans="1:5" ht="30" customHeight="1" x14ac:dyDescent="0.25">
      <c r="A428" s="5"/>
      <c r="B428" s="5"/>
      <c r="C428" s="5"/>
      <c r="D428" s="5"/>
      <c r="E428" s="19"/>
    </row>
    <row r="429" spans="1:5" ht="30" customHeight="1" x14ac:dyDescent="0.25">
      <c r="A429" s="5"/>
      <c r="B429" s="5"/>
      <c r="C429" s="5"/>
      <c r="D429" s="5"/>
      <c r="E429" s="19"/>
    </row>
    <row r="430" spans="1:5" ht="30" customHeight="1" x14ac:dyDescent="0.25">
      <c r="A430" s="5"/>
      <c r="B430" s="5"/>
      <c r="C430" s="5"/>
      <c r="D430" s="5"/>
      <c r="E430" s="19"/>
    </row>
    <row r="431" spans="1:5" ht="30" customHeight="1" x14ac:dyDescent="0.25">
      <c r="A431" s="5"/>
      <c r="B431" s="5"/>
      <c r="C431" s="5"/>
      <c r="D431" s="5"/>
      <c r="E431" s="19"/>
    </row>
    <row r="432" spans="1:5" ht="30" customHeight="1" x14ac:dyDescent="0.25">
      <c r="A432" s="5"/>
      <c r="B432" s="5"/>
      <c r="C432" s="5"/>
      <c r="D432" s="5"/>
      <c r="E432" s="19"/>
    </row>
    <row r="433" spans="1:5" ht="30" customHeight="1" x14ac:dyDescent="0.25">
      <c r="A433" s="5"/>
      <c r="B433" s="5"/>
      <c r="C433" s="5"/>
      <c r="D433" s="5"/>
      <c r="E433" s="19"/>
    </row>
    <row r="434" spans="1:5" ht="30" customHeight="1" x14ac:dyDescent="0.25">
      <c r="A434" s="5"/>
      <c r="B434" s="5"/>
      <c r="C434" s="5"/>
      <c r="D434" s="5"/>
      <c r="E434" s="19"/>
    </row>
    <row r="435" spans="1:5" ht="30" customHeight="1" x14ac:dyDescent="0.25">
      <c r="A435" s="5"/>
      <c r="B435" s="5"/>
      <c r="C435" s="5"/>
      <c r="D435" s="5"/>
      <c r="E435" s="19"/>
    </row>
    <row r="436" spans="1:5" ht="30" customHeight="1" x14ac:dyDescent="0.25">
      <c r="A436" s="5"/>
      <c r="B436" s="5"/>
      <c r="C436" s="5"/>
      <c r="D436" s="5"/>
      <c r="E436" s="19"/>
    </row>
    <row r="437" spans="1:5" ht="30" customHeight="1" x14ac:dyDescent="0.25">
      <c r="A437" s="5"/>
      <c r="B437" s="5"/>
      <c r="C437" s="5"/>
      <c r="D437" s="5"/>
      <c r="E437" s="19"/>
    </row>
    <row r="438" spans="1:5" ht="30" customHeight="1" x14ac:dyDescent="0.25">
      <c r="A438" s="5"/>
      <c r="B438" s="5"/>
      <c r="C438" s="5"/>
      <c r="D438" s="5"/>
      <c r="E438" s="19"/>
    </row>
    <row r="439" spans="1:5" ht="30" customHeight="1" x14ac:dyDescent="0.25">
      <c r="A439" s="5"/>
      <c r="B439" s="5"/>
      <c r="C439" s="5"/>
      <c r="D439" s="5"/>
      <c r="E439" s="19"/>
    </row>
    <row r="440" spans="1:5" ht="30" customHeight="1" x14ac:dyDescent="0.25">
      <c r="A440" s="5"/>
      <c r="B440" s="5"/>
      <c r="C440" s="5"/>
      <c r="D440" s="5"/>
      <c r="E440" s="19"/>
    </row>
    <row r="441" spans="1:5" ht="30" customHeight="1" x14ac:dyDescent="0.25">
      <c r="A441" s="5"/>
      <c r="B441" s="5"/>
      <c r="C441" s="5"/>
      <c r="D441" s="5"/>
      <c r="E441" s="19"/>
    </row>
    <row r="442" spans="1:5" ht="30" customHeight="1" x14ac:dyDescent="0.25">
      <c r="A442" s="5"/>
      <c r="B442" s="5"/>
      <c r="C442" s="5"/>
      <c r="D442" s="5"/>
      <c r="E442" s="19"/>
    </row>
    <row r="443" spans="1:5" ht="30" customHeight="1" x14ac:dyDescent="0.25">
      <c r="A443" s="5"/>
      <c r="B443" s="5"/>
      <c r="C443" s="5"/>
      <c r="D443" s="5"/>
      <c r="E443" s="19"/>
    </row>
    <row r="444" spans="1:5" ht="30" customHeight="1" x14ac:dyDescent="0.25">
      <c r="A444" s="5"/>
      <c r="B444" s="5"/>
      <c r="C444" s="5"/>
      <c r="D444" s="5"/>
      <c r="E444" s="19"/>
    </row>
    <row r="445" spans="1:5" ht="30" customHeight="1" x14ac:dyDescent="0.25">
      <c r="A445" s="5"/>
      <c r="B445" s="5"/>
      <c r="C445" s="5"/>
      <c r="D445" s="5"/>
      <c r="E445" s="19"/>
    </row>
    <row r="446" spans="1:5" ht="30" customHeight="1" x14ac:dyDescent="0.25">
      <c r="A446" s="5"/>
      <c r="B446" s="5"/>
      <c r="C446" s="5"/>
      <c r="D446" s="5"/>
      <c r="E446" s="19"/>
    </row>
    <row r="447" spans="1:5" ht="30" customHeight="1" x14ac:dyDescent="0.25">
      <c r="A447" s="5"/>
      <c r="B447" s="5"/>
      <c r="C447" s="5"/>
      <c r="D447" s="5"/>
      <c r="E447" s="19"/>
    </row>
    <row r="448" spans="1:5" ht="30" customHeight="1" x14ac:dyDescent="0.25">
      <c r="A448" s="5"/>
      <c r="B448" s="5"/>
      <c r="C448" s="5"/>
      <c r="D448" s="5"/>
      <c r="E448" s="19"/>
    </row>
    <row r="449" spans="1:5" ht="30" customHeight="1" x14ac:dyDescent="0.25">
      <c r="A449" s="5"/>
      <c r="B449" s="5"/>
      <c r="C449" s="5"/>
      <c r="D449" s="5"/>
      <c r="E449" s="19"/>
    </row>
    <row r="450" spans="1:5" ht="30" customHeight="1" x14ac:dyDescent="0.25">
      <c r="A450" s="5"/>
      <c r="B450" s="5"/>
      <c r="C450" s="5"/>
      <c r="D450" s="5"/>
      <c r="E450" s="19"/>
    </row>
    <row r="451" spans="1:5" ht="30" customHeight="1" x14ac:dyDescent="0.25">
      <c r="A451" s="5"/>
      <c r="B451" s="5"/>
      <c r="C451" s="5"/>
      <c r="D451" s="5"/>
      <c r="E451" s="19"/>
    </row>
    <row r="452" spans="1:5" ht="30" customHeight="1" x14ac:dyDescent="0.25">
      <c r="A452" s="5"/>
      <c r="B452" s="5"/>
      <c r="C452" s="5"/>
      <c r="D452" s="5"/>
      <c r="E452" s="19"/>
    </row>
    <row r="453" spans="1:5" ht="30" customHeight="1" x14ac:dyDescent="0.25">
      <c r="A453" s="5"/>
      <c r="B453" s="5"/>
      <c r="C453" s="5"/>
      <c r="D453" s="12"/>
      <c r="E453" s="19"/>
    </row>
    <row r="454" spans="1:5" ht="30" customHeight="1" x14ac:dyDescent="0.25">
      <c r="A454" s="5"/>
      <c r="B454" s="5"/>
      <c r="C454" s="5"/>
      <c r="D454" s="5"/>
      <c r="E454" s="19"/>
    </row>
    <row r="455" spans="1:5" ht="30" customHeight="1" x14ac:dyDescent="0.25">
      <c r="A455" s="5"/>
      <c r="B455" s="5"/>
      <c r="C455" s="5"/>
      <c r="D455" s="5"/>
      <c r="E455" s="19"/>
    </row>
    <row r="456" spans="1:5" ht="30" customHeight="1" x14ac:dyDescent="0.25">
      <c r="A456" s="5"/>
      <c r="B456" s="5"/>
      <c r="C456" s="5"/>
      <c r="D456" s="5"/>
      <c r="E456" s="19"/>
    </row>
    <row r="457" spans="1:5" ht="30" customHeight="1" x14ac:dyDescent="0.25">
      <c r="A457" s="5"/>
      <c r="B457" s="5"/>
      <c r="D457" s="12"/>
      <c r="E457" s="19"/>
    </row>
    <row r="458" spans="1:5" ht="30" customHeight="1" x14ac:dyDescent="0.25">
      <c r="A458" s="5"/>
      <c r="B458" s="5"/>
      <c r="C458" s="5"/>
      <c r="D458" s="5"/>
      <c r="E458" s="19"/>
    </row>
    <row r="459" spans="1:5" ht="30" customHeight="1" x14ac:dyDescent="0.25">
      <c r="A459" s="5"/>
      <c r="B459" s="5"/>
      <c r="C459" s="5"/>
      <c r="D459" s="5"/>
      <c r="E459" s="19"/>
    </row>
    <row r="460" spans="1:5" ht="30" customHeight="1" x14ac:dyDescent="0.25">
      <c r="A460" s="5"/>
      <c r="B460" s="5"/>
      <c r="C460" s="5"/>
      <c r="D460" s="5"/>
      <c r="E460" s="19"/>
    </row>
    <row r="461" spans="1:5" ht="30" customHeight="1" x14ac:dyDescent="0.25">
      <c r="A461" s="5"/>
      <c r="B461" s="5"/>
      <c r="C461" s="5"/>
      <c r="D461" s="5"/>
      <c r="E461" s="19"/>
    </row>
    <row r="462" spans="1:5" ht="30" customHeight="1" x14ac:dyDescent="0.25">
      <c r="A462" s="5"/>
      <c r="B462" s="5"/>
      <c r="C462" s="5"/>
      <c r="D462" s="5"/>
      <c r="E462" s="19"/>
    </row>
    <row r="463" spans="1:5" ht="30" customHeight="1" x14ac:dyDescent="0.25">
      <c r="A463" s="5"/>
      <c r="B463" s="5"/>
      <c r="C463" s="5"/>
      <c r="D463" s="5"/>
      <c r="E463" s="19"/>
    </row>
    <row r="464" spans="1:5" ht="30" customHeight="1" x14ac:dyDescent="0.25">
      <c r="A464" s="5"/>
      <c r="B464" s="5"/>
      <c r="C464" s="5"/>
      <c r="D464" s="5"/>
      <c r="E464" s="19"/>
    </row>
    <row r="465" spans="1:5" ht="30" customHeight="1" x14ac:dyDescent="0.25">
      <c r="A465" s="5"/>
      <c r="B465" s="5"/>
      <c r="C465" s="5"/>
      <c r="D465" s="12"/>
      <c r="E465" s="19"/>
    </row>
    <row r="466" spans="1:5" ht="30" customHeight="1" x14ac:dyDescent="0.25">
      <c r="A466" s="5"/>
      <c r="B466" s="5"/>
      <c r="C466" s="5"/>
      <c r="D466" s="5"/>
      <c r="E466" s="19"/>
    </row>
    <row r="467" spans="1:5" ht="30" customHeight="1" x14ac:dyDescent="0.25">
      <c r="A467" s="5"/>
      <c r="B467" s="5"/>
      <c r="C467" s="5"/>
      <c r="D467" s="5"/>
      <c r="E467" s="19"/>
    </row>
    <row r="468" spans="1:5" ht="30" customHeight="1" x14ac:dyDescent="0.25">
      <c r="A468" s="5"/>
      <c r="B468" s="5"/>
      <c r="C468" s="5"/>
      <c r="D468" s="5"/>
      <c r="E468" s="19"/>
    </row>
    <row r="469" spans="1:5" ht="30" customHeight="1" x14ac:dyDescent="0.25">
      <c r="A469" s="5"/>
      <c r="B469" s="5"/>
      <c r="C469" s="5"/>
      <c r="D469" s="5"/>
      <c r="E469" s="19"/>
    </row>
    <row r="470" spans="1:5" ht="30" customHeight="1" x14ac:dyDescent="0.25">
      <c r="A470" s="5"/>
      <c r="B470" s="5"/>
      <c r="C470" s="5"/>
      <c r="D470" s="12"/>
      <c r="E470" s="19"/>
    </row>
    <row r="471" spans="1:5" ht="30" customHeight="1" x14ac:dyDescent="0.25">
      <c r="A471" s="5"/>
      <c r="B471" s="5"/>
      <c r="C471" s="5"/>
      <c r="D471" s="5"/>
      <c r="E471" s="19"/>
    </row>
    <row r="472" spans="1:5" ht="30" customHeight="1" x14ac:dyDescent="0.25">
      <c r="A472" s="5"/>
      <c r="B472" s="5"/>
      <c r="C472" s="5"/>
      <c r="D472" s="5"/>
      <c r="E472" s="19"/>
    </row>
    <row r="473" spans="1:5" ht="30" customHeight="1" x14ac:dyDescent="0.25">
      <c r="A473" s="5"/>
      <c r="B473" s="5"/>
      <c r="C473" s="5"/>
      <c r="D473" s="5"/>
      <c r="E473" s="19"/>
    </row>
    <row r="474" spans="1:5" ht="30" customHeight="1" x14ac:dyDescent="0.25">
      <c r="A474" s="5"/>
      <c r="B474" s="5"/>
      <c r="C474" s="5"/>
      <c r="D474" s="5"/>
      <c r="E474" s="19"/>
    </row>
    <row r="475" spans="1:5" ht="30" customHeight="1" x14ac:dyDescent="0.25">
      <c r="A475" s="5"/>
      <c r="B475" s="5"/>
      <c r="C475" s="5"/>
      <c r="D475" s="5"/>
      <c r="E475" s="19"/>
    </row>
    <row r="476" spans="1:5" ht="30" customHeight="1" x14ac:dyDescent="0.25">
      <c r="A476" s="5"/>
      <c r="B476" s="5"/>
      <c r="C476" s="5"/>
      <c r="D476" s="12"/>
      <c r="E476" s="19"/>
    </row>
    <row r="477" spans="1:5" ht="30" customHeight="1" x14ac:dyDescent="0.25">
      <c r="A477" s="5"/>
      <c r="B477" s="5"/>
      <c r="C477" s="5"/>
      <c r="D477" s="5"/>
      <c r="E477" s="19"/>
    </row>
    <row r="478" spans="1:5" ht="30" customHeight="1" x14ac:dyDescent="0.25">
      <c r="A478" s="5"/>
      <c r="B478" s="5"/>
      <c r="C478" s="5"/>
      <c r="D478" s="5"/>
      <c r="E478" s="19"/>
    </row>
    <row r="479" spans="1:5" ht="30" customHeight="1" x14ac:dyDescent="0.25">
      <c r="A479" s="5"/>
      <c r="B479" s="5"/>
      <c r="C479" s="5"/>
      <c r="D479" s="5"/>
      <c r="E479" s="19"/>
    </row>
    <row r="480" spans="1:5" ht="30" customHeight="1" x14ac:dyDescent="0.25">
      <c r="A480" s="5"/>
      <c r="B480" s="5"/>
      <c r="C480" s="5"/>
      <c r="D480" s="5"/>
      <c r="E480" s="19"/>
    </row>
    <row r="481" spans="1:5" ht="30" customHeight="1" x14ac:dyDescent="0.25">
      <c r="A481" s="5"/>
      <c r="B481" s="5"/>
      <c r="C481" s="5"/>
      <c r="D481" s="5"/>
      <c r="E481" s="19"/>
    </row>
    <row r="482" spans="1:5" ht="30" customHeight="1" x14ac:dyDescent="0.25">
      <c r="A482" s="5"/>
      <c r="B482" s="5"/>
      <c r="C482" s="5"/>
      <c r="D482" s="5"/>
      <c r="E482" s="19"/>
    </row>
    <row r="483" spans="1:5" ht="30" customHeight="1" x14ac:dyDescent="0.25">
      <c r="A483" s="5"/>
      <c r="B483" s="5"/>
      <c r="C483" s="5"/>
      <c r="D483" s="5"/>
      <c r="E483" s="19"/>
    </row>
    <row r="484" spans="1:5" ht="30" customHeight="1" x14ac:dyDescent="0.25">
      <c r="A484" s="5"/>
      <c r="B484" s="5"/>
      <c r="C484" s="5"/>
      <c r="D484" s="5"/>
      <c r="E484" s="19"/>
    </row>
    <row r="485" spans="1:5" ht="30" customHeight="1" x14ac:dyDescent="0.25">
      <c r="A485" s="5"/>
      <c r="B485" s="5"/>
      <c r="C485" s="5"/>
      <c r="D485" s="5"/>
      <c r="E485" s="19"/>
    </row>
    <row r="486" spans="1:5" ht="30" customHeight="1" x14ac:dyDescent="0.25">
      <c r="A486" s="5"/>
      <c r="B486" s="5"/>
      <c r="C486" s="5"/>
      <c r="D486" s="5"/>
      <c r="E486" s="19"/>
    </row>
    <row r="487" spans="1:5" ht="30" customHeight="1" x14ac:dyDescent="0.25">
      <c r="A487" s="5"/>
      <c r="B487" s="5"/>
      <c r="C487" s="5"/>
      <c r="D487" s="5"/>
      <c r="E487" s="19"/>
    </row>
    <row r="488" spans="1:5" ht="30" customHeight="1" x14ac:dyDescent="0.25">
      <c r="A488" s="5"/>
      <c r="B488" s="5"/>
      <c r="C488" s="5"/>
      <c r="D488" s="5"/>
      <c r="E488" s="19"/>
    </row>
    <row r="489" spans="1:5" ht="57.75" customHeight="1" x14ac:dyDescent="0.25">
      <c r="A489" s="5"/>
      <c r="B489" s="5"/>
      <c r="C489" s="5"/>
      <c r="D489" s="5"/>
      <c r="E489" s="19"/>
    </row>
    <row r="490" spans="1:5" x14ac:dyDescent="0.25">
      <c r="A490" s="5"/>
      <c r="B490" s="5"/>
      <c r="C490" s="5"/>
      <c r="D490" s="5"/>
      <c r="E490" s="19"/>
    </row>
    <row r="491" spans="1:5" x14ac:dyDescent="0.25">
      <c r="A491" s="5"/>
      <c r="B491" s="5"/>
      <c r="C491" s="5"/>
      <c r="D491" s="5"/>
      <c r="E491" s="19"/>
    </row>
    <row r="492" spans="1:5" x14ac:dyDescent="0.25">
      <c r="A492" s="5"/>
      <c r="B492" s="5"/>
      <c r="C492" s="5"/>
      <c r="D492" s="5"/>
      <c r="E492" s="19"/>
    </row>
    <row r="493" spans="1:5" ht="30" customHeight="1" x14ac:dyDescent="0.25">
      <c r="A493" s="5"/>
      <c r="B493" s="5"/>
      <c r="C493" s="5"/>
      <c r="D493" s="5"/>
      <c r="E493" s="19"/>
    </row>
    <row r="494" spans="1:5" x14ac:dyDescent="0.25">
      <c r="A494" s="5"/>
      <c r="B494" s="5"/>
      <c r="C494" s="5"/>
      <c r="D494" s="5"/>
      <c r="E494" s="19"/>
    </row>
    <row r="495" spans="1:5" ht="30" customHeight="1" x14ac:dyDescent="0.25">
      <c r="A495" s="5"/>
      <c r="B495" s="5"/>
      <c r="C495" s="5"/>
      <c r="D495" s="5"/>
      <c r="E495" s="19"/>
    </row>
    <row r="496" spans="1:5" x14ac:dyDescent="0.25">
      <c r="A496" s="5"/>
      <c r="B496" s="5"/>
      <c r="C496" s="5"/>
      <c r="D496" s="5"/>
      <c r="E496" s="19"/>
    </row>
    <row r="497" spans="1:5" x14ac:dyDescent="0.25">
      <c r="A497" s="5"/>
      <c r="B497" s="5"/>
      <c r="C497" s="5"/>
      <c r="D497" s="5"/>
      <c r="E497" s="19"/>
    </row>
    <row r="498" spans="1:5" x14ac:dyDescent="0.25">
      <c r="A498" s="5"/>
      <c r="B498" s="5"/>
      <c r="C498" s="5"/>
      <c r="D498" s="5"/>
      <c r="E498" s="19"/>
    </row>
    <row r="499" spans="1:5" x14ac:dyDescent="0.25">
      <c r="A499" s="5"/>
      <c r="B499" s="5"/>
      <c r="C499" s="5"/>
      <c r="D499" s="5"/>
      <c r="E499" s="19"/>
    </row>
    <row r="500" spans="1:5" ht="30" customHeight="1" x14ac:dyDescent="0.25">
      <c r="A500" s="5"/>
      <c r="B500" s="5"/>
      <c r="C500" s="5"/>
      <c r="D500" s="5"/>
      <c r="E500" s="19"/>
    </row>
    <row r="501" spans="1:5" x14ac:dyDescent="0.25">
      <c r="A501" s="5"/>
      <c r="B501" s="5"/>
      <c r="C501" s="5"/>
      <c r="D501" s="5"/>
      <c r="E501" s="19"/>
    </row>
    <row r="502" spans="1:5" x14ac:dyDescent="0.25">
      <c r="A502" s="5"/>
      <c r="B502" s="5"/>
      <c r="C502" s="5"/>
      <c r="D502" s="5"/>
      <c r="E502" s="19"/>
    </row>
    <row r="503" spans="1:5" ht="30" customHeight="1" x14ac:dyDescent="0.25">
      <c r="A503" s="5"/>
      <c r="B503" s="5"/>
      <c r="C503" s="5"/>
      <c r="D503" s="5"/>
      <c r="E503" s="19"/>
    </row>
    <row r="504" spans="1:5" x14ac:dyDescent="0.25">
      <c r="A504" s="5"/>
      <c r="B504" s="5"/>
      <c r="C504" s="5"/>
      <c r="D504" s="5"/>
      <c r="E504" s="19"/>
    </row>
    <row r="505" spans="1:5" x14ac:dyDescent="0.25">
      <c r="A505" s="5"/>
      <c r="B505" s="5"/>
      <c r="C505" s="5"/>
      <c r="D505" s="5"/>
      <c r="E505" s="19"/>
    </row>
    <row r="506" spans="1:5" x14ac:dyDescent="0.25">
      <c r="A506" s="5"/>
      <c r="B506" s="5"/>
      <c r="C506" s="5"/>
      <c r="D506" s="5"/>
      <c r="E506" s="19"/>
    </row>
    <row r="507" spans="1:5" x14ac:dyDescent="0.25">
      <c r="A507" s="5"/>
      <c r="B507" s="5"/>
      <c r="C507" s="5"/>
      <c r="D507" s="5"/>
      <c r="E507" s="19"/>
    </row>
    <row r="508" spans="1:5" x14ac:dyDescent="0.25">
      <c r="A508" s="5"/>
      <c r="B508" s="5"/>
      <c r="C508" s="5"/>
      <c r="D508" s="5"/>
      <c r="E508" s="19"/>
    </row>
    <row r="509" spans="1:5" x14ac:dyDescent="0.25">
      <c r="A509" s="5"/>
      <c r="B509" s="5"/>
      <c r="C509" s="5"/>
      <c r="D509" s="5"/>
      <c r="E509" s="19"/>
    </row>
    <row r="510" spans="1:5" ht="44.25" customHeight="1" x14ac:dyDescent="0.25">
      <c r="A510" s="5"/>
      <c r="B510" s="5"/>
      <c r="C510" s="5"/>
      <c r="D510" s="5"/>
      <c r="E510" s="19"/>
    </row>
    <row r="511" spans="1:5" x14ac:dyDescent="0.25">
      <c r="A511" s="5"/>
      <c r="B511" s="5"/>
      <c r="C511" s="5"/>
      <c r="D511" s="5"/>
      <c r="E511" s="19"/>
    </row>
    <row r="512" spans="1:5" x14ac:dyDescent="0.25">
      <c r="A512" s="5"/>
      <c r="B512" s="5"/>
      <c r="C512" s="5"/>
      <c r="D512" s="5"/>
      <c r="E512" s="19"/>
    </row>
    <row r="513" spans="1:5" ht="55.5" customHeight="1" x14ac:dyDescent="0.25">
      <c r="A513" s="5"/>
      <c r="B513" s="5"/>
      <c r="C513" s="5"/>
      <c r="D513" s="5"/>
      <c r="E513" s="19"/>
    </row>
  </sheetData>
  <autoFilter ref="A2:A326"/>
  <phoneticPr fontId="8" type="noConversion"/>
  <dataValidations count="3">
    <dataValidation type="textLength" operator="greaterThanOrEqual" allowBlank="1" showInputMessage="1" showErrorMessage="1" sqref="C1">
      <formula1>1</formula1>
    </dataValidation>
    <dataValidation type="list" allowBlank="1" showInputMessage="1" showErrorMessage="1" sqref="D487:D513 C158 D3:D408">
      <formula1>"xpath,cssSelector,className,tagName,id,linkText,partialLinkText"</formula1>
    </dataValidation>
    <dataValidation type="list" errorStyle="warning" allowBlank="1" showInputMessage="1" showErrorMessage="1" sqref="E485:E1048576 E455:E483 E318:E453 E179:E181 E98:E176 E1:E95">
      <formula1>"End,  ,"</formula1>
    </dataValidation>
  </dataValidations>
  <pageMargins left="0.69930555555555596" right="0.69930555555555596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Pict="0" macro="[0]!生成页面元素_Click">
                <anchor moveWithCells="1" sizeWithCells="1">
                  <from>
                    <xdr:col>0</xdr:col>
                    <xdr:colOff>565150</xdr:colOff>
                    <xdr:row>0</xdr:row>
                    <xdr:rowOff>50800</xdr:rowOff>
                  </from>
                  <to>
                    <xdr:col>0</xdr:col>
                    <xdr:colOff>1955800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FF00"/>
  </sheetPr>
  <dimension ref="A1:R103"/>
  <sheetViews>
    <sheetView zoomScaleNormal="100" workbookViewId="0">
      <pane xSplit="3" ySplit="2" topLeftCell="D3" activePane="bottomRight" state="frozen"/>
      <selection activeCell="B24" sqref="B24"/>
      <selection pane="topRight" activeCell="B24" sqref="B24"/>
      <selection pane="bottomLeft" activeCell="B24" sqref="B24"/>
      <selection pane="bottomRight" activeCell="D32" sqref="D32:F32"/>
    </sheetView>
  </sheetViews>
  <sheetFormatPr defaultColWidth="8.7265625" defaultRowHeight="14" x14ac:dyDescent="0.25"/>
  <cols>
    <col min="1" max="1" width="11" style="2" customWidth="1"/>
    <col min="2" max="2" width="19.90625" style="1" customWidth="1"/>
    <col min="3" max="3" width="26.36328125" style="1" customWidth="1"/>
    <col min="4" max="4" width="26.26953125" style="1" customWidth="1"/>
    <col min="5" max="5" width="14.26953125" style="1" customWidth="1"/>
    <col min="6" max="6" width="15.453125" style="1" customWidth="1"/>
    <col min="7" max="7" width="22" style="1" customWidth="1"/>
    <col min="8" max="16" width="24.26953125" style="1" customWidth="1"/>
    <col min="17" max="17" width="21.36328125" style="1" customWidth="1"/>
    <col min="18" max="18" width="20.453125" style="1" customWidth="1"/>
    <col min="19" max="20" width="8.7265625" style="1"/>
    <col min="21" max="21" width="74.453125" style="1" customWidth="1"/>
    <col min="22" max="16384" width="8.7265625" style="1"/>
  </cols>
  <sheetData>
    <row r="1" spans="1:18" x14ac:dyDescent="0.25">
      <c r="A1" s="104" t="s">
        <v>51</v>
      </c>
      <c r="B1" s="104" t="s">
        <v>52</v>
      </c>
      <c r="C1" s="104" t="s">
        <v>53</v>
      </c>
      <c r="D1" s="104"/>
      <c r="E1" s="104"/>
      <c r="F1" s="105" t="s">
        <v>32</v>
      </c>
      <c r="G1" s="105" t="s">
        <v>54</v>
      </c>
      <c r="H1" s="106" t="s">
        <v>55</v>
      </c>
      <c r="I1" s="106"/>
      <c r="J1" s="106"/>
      <c r="K1" s="106"/>
      <c r="L1" s="106"/>
      <c r="M1" s="106"/>
      <c r="N1" s="106"/>
      <c r="O1" s="106"/>
      <c r="P1" s="106"/>
      <c r="Q1" s="106"/>
      <c r="R1" s="103" t="s">
        <v>56</v>
      </c>
    </row>
    <row r="2" spans="1:18" x14ac:dyDescent="0.25">
      <c r="A2" s="104"/>
      <c r="B2" s="104"/>
      <c r="C2" s="44" t="s">
        <v>57</v>
      </c>
      <c r="D2" s="44" t="s">
        <v>58</v>
      </c>
      <c r="E2" s="44" t="s">
        <v>125</v>
      </c>
      <c r="F2" s="105"/>
      <c r="G2" s="105"/>
      <c r="H2" s="45" t="s">
        <v>126</v>
      </c>
      <c r="I2" s="45" t="s">
        <v>127</v>
      </c>
      <c r="J2" s="45" t="s">
        <v>128</v>
      </c>
      <c r="K2" s="45" t="s">
        <v>60</v>
      </c>
      <c r="L2" s="45" t="s">
        <v>61</v>
      </c>
      <c r="M2" s="45" t="s">
        <v>62</v>
      </c>
      <c r="N2" s="45" t="s">
        <v>63</v>
      </c>
      <c r="O2" s="45" t="s">
        <v>64</v>
      </c>
      <c r="P2" s="45" t="s">
        <v>65</v>
      </c>
      <c r="Q2" s="45" t="s">
        <v>66</v>
      </c>
      <c r="R2" s="103"/>
    </row>
    <row r="3" spans="1:18" x14ac:dyDescent="0.25">
      <c r="A3" s="27">
        <v>1</v>
      </c>
      <c r="B3" s="5" t="s">
        <v>67</v>
      </c>
      <c r="C3" s="5" t="s">
        <v>68</v>
      </c>
      <c r="D3" s="5" t="s">
        <v>4</v>
      </c>
      <c r="E3" s="5" t="s">
        <v>59</v>
      </c>
      <c r="F3" s="5" t="s">
        <v>69</v>
      </c>
      <c r="G3" s="5" t="s">
        <v>70</v>
      </c>
      <c r="H3" s="46" t="s">
        <v>71</v>
      </c>
      <c r="I3" s="18"/>
      <c r="J3" s="18"/>
      <c r="K3" s="18"/>
      <c r="L3" s="18"/>
      <c r="M3" s="18"/>
      <c r="N3" s="18"/>
      <c r="O3" s="18"/>
      <c r="P3" s="18"/>
      <c r="Q3" s="18"/>
      <c r="R3" s="5"/>
    </row>
    <row r="4" spans="1:18" x14ac:dyDescent="0.25">
      <c r="A4" s="27"/>
      <c r="B4" s="5"/>
      <c r="C4" s="5" t="s">
        <v>72</v>
      </c>
      <c r="D4" s="5" t="s">
        <v>4</v>
      </c>
      <c r="E4" s="5" t="s">
        <v>59</v>
      </c>
      <c r="F4" s="5" t="s">
        <v>69</v>
      </c>
      <c r="G4" s="5" t="s">
        <v>70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</row>
    <row r="5" spans="1:18" x14ac:dyDescent="0.25">
      <c r="A5" s="27">
        <v>1</v>
      </c>
      <c r="B5" s="5" t="s">
        <v>73</v>
      </c>
      <c r="C5" s="5" t="s">
        <v>74</v>
      </c>
      <c r="D5" s="5" t="s">
        <v>5</v>
      </c>
      <c r="E5" s="5" t="s">
        <v>59</v>
      </c>
      <c r="F5" s="5" t="s">
        <v>69</v>
      </c>
      <c r="G5" s="5" t="s">
        <v>70</v>
      </c>
      <c r="H5" s="46"/>
      <c r="I5" s="5"/>
      <c r="J5" s="5"/>
      <c r="K5" s="5"/>
      <c r="L5" s="5"/>
      <c r="M5" s="5"/>
      <c r="N5" s="5"/>
      <c r="O5" s="5"/>
      <c r="P5" s="5"/>
      <c r="Q5" s="5"/>
      <c r="R5" s="5"/>
    </row>
    <row r="6" spans="1:18" x14ac:dyDescent="0.25">
      <c r="A6" s="27">
        <v>1</v>
      </c>
      <c r="B6" s="5" t="s">
        <v>75</v>
      </c>
      <c r="C6" s="5" t="s">
        <v>129</v>
      </c>
      <c r="D6" s="5" t="s">
        <v>75</v>
      </c>
      <c r="E6" s="5" t="s">
        <v>59</v>
      </c>
      <c r="F6" s="5" t="s">
        <v>69</v>
      </c>
      <c r="G6" s="5" t="s">
        <v>70</v>
      </c>
      <c r="H6" s="5" t="s">
        <v>76</v>
      </c>
      <c r="I6" s="5"/>
      <c r="J6" s="5"/>
      <c r="K6" s="5"/>
      <c r="L6" s="5"/>
      <c r="M6" s="5"/>
      <c r="N6" s="5"/>
      <c r="O6" s="5"/>
      <c r="P6" s="5"/>
      <c r="Q6" s="5"/>
      <c r="R6" s="5"/>
    </row>
    <row r="7" spans="1:18" x14ac:dyDescent="0.25">
      <c r="A7" s="27"/>
      <c r="B7" s="5"/>
      <c r="C7" s="5" t="s">
        <v>77</v>
      </c>
      <c r="D7" s="5" t="s">
        <v>75</v>
      </c>
      <c r="E7" s="5" t="s">
        <v>59</v>
      </c>
      <c r="F7" s="5" t="s">
        <v>69</v>
      </c>
      <c r="G7" s="5" t="s">
        <v>70</v>
      </c>
      <c r="H7" s="5">
        <v>2</v>
      </c>
      <c r="I7" s="5"/>
      <c r="J7" s="5"/>
      <c r="K7" s="5"/>
      <c r="L7" s="5"/>
      <c r="M7" s="5"/>
      <c r="N7" s="5"/>
      <c r="O7" s="5"/>
      <c r="P7" s="5"/>
      <c r="Q7" s="5"/>
      <c r="R7" s="5"/>
    </row>
    <row r="8" spans="1:18" ht="28" x14ac:dyDescent="0.25">
      <c r="A8" s="27">
        <v>1</v>
      </c>
      <c r="B8" s="5" t="s">
        <v>78</v>
      </c>
      <c r="C8" s="5" t="s">
        <v>79</v>
      </c>
      <c r="D8" s="5" t="s">
        <v>78</v>
      </c>
      <c r="E8" s="5" t="s">
        <v>59</v>
      </c>
      <c r="F8" s="5" t="s">
        <v>69</v>
      </c>
      <c r="G8" s="5" t="s">
        <v>70</v>
      </c>
      <c r="H8" s="5" t="s">
        <v>76</v>
      </c>
      <c r="I8" s="5"/>
      <c r="J8" s="5"/>
      <c r="K8" s="5"/>
      <c r="L8" s="5"/>
      <c r="M8" s="5"/>
      <c r="N8" s="5"/>
      <c r="O8" s="5"/>
      <c r="P8" s="5"/>
      <c r="Q8" s="5"/>
      <c r="R8" s="5"/>
    </row>
    <row r="9" spans="1:18" x14ac:dyDescent="0.25">
      <c r="A9" s="27"/>
      <c r="B9" s="5"/>
      <c r="C9" s="5" t="s">
        <v>80</v>
      </c>
      <c r="D9" s="5" t="s">
        <v>78</v>
      </c>
      <c r="E9" s="5" t="s">
        <v>59</v>
      </c>
      <c r="F9" s="5" t="s">
        <v>69</v>
      </c>
      <c r="G9" s="5" t="s">
        <v>70</v>
      </c>
      <c r="H9" s="5" t="s">
        <v>81</v>
      </c>
      <c r="I9" s="5"/>
      <c r="J9" s="5"/>
      <c r="K9" s="5"/>
      <c r="L9" s="5"/>
      <c r="M9" s="5"/>
      <c r="N9" s="5"/>
      <c r="O9" s="5"/>
      <c r="P9" s="5"/>
      <c r="Q9" s="5"/>
      <c r="R9" s="5"/>
    </row>
    <row r="10" spans="1:18" ht="28" x14ac:dyDescent="0.25">
      <c r="A10" s="27"/>
      <c r="B10" s="5"/>
      <c r="C10" s="5" t="s">
        <v>82</v>
      </c>
      <c r="D10" s="5" t="s">
        <v>78</v>
      </c>
      <c r="E10" s="5" t="s">
        <v>59</v>
      </c>
      <c r="F10" s="5" t="s">
        <v>69</v>
      </c>
      <c r="G10" s="5" t="s">
        <v>70</v>
      </c>
      <c r="H10" s="5">
        <v>4</v>
      </c>
      <c r="I10" s="5"/>
      <c r="J10" s="5"/>
      <c r="K10" s="5"/>
      <c r="L10" s="5"/>
      <c r="M10" s="5"/>
      <c r="N10" s="5"/>
      <c r="O10" s="5"/>
      <c r="P10" s="5"/>
      <c r="Q10" s="5"/>
      <c r="R10" s="5"/>
    </row>
    <row r="11" spans="1:18" ht="28" x14ac:dyDescent="0.25">
      <c r="A11" s="27"/>
      <c r="B11" s="5"/>
      <c r="C11" s="5" t="s">
        <v>83</v>
      </c>
      <c r="D11" s="5" t="s">
        <v>78</v>
      </c>
      <c r="E11" s="5" t="s">
        <v>59</v>
      </c>
      <c r="F11" s="5" t="s">
        <v>69</v>
      </c>
      <c r="G11" s="5" t="s">
        <v>70</v>
      </c>
      <c r="H11" s="5" t="s">
        <v>84</v>
      </c>
      <c r="I11" s="5"/>
      <c r="J11" s="5"/>
      <c r="K11" s="5"/>
      <c r="L11" s="5"/>
      <c r="M11" s="5"/>
      <c r="N11" s="5"/>
      <c r="O11" s="5"/>
      <c r="P11" s="5"/>
      <c r="Q11" s="5"/>
      <c r="R11" s="5"/>
    </row>
    <row r="12" spans="1:18" x14ac:dyDescent="0.25">
      <c r="A12" s="27">
        <v>1</v>
      </c>
      <c r="B12" s="5" t="s">
        <v>130</v>
      </c>
      <c r="C12" s="5" t="s">
        <v>74</v>
      </c>
      <c r="D12" s="5" t="s">
        <v>130</v>
      </c>
      <c r="E12" s="5" t="s">
        <v>59</v>
      </c>
      <c r="F12" s="5" t="s">
        <v>69</v>
      </c>
      <c r="G12" s="5" t="s">
        <v>70</v>
      </c>
      <c r="H12" s="46"/>
      <c r="I12" s="5"/>
      <c r="J12" s="5"/>
      <c r="K12" s="5"/>
      <c r="L12" s="5"/>
      <c r="M12" s="5"/>
      <c r="N12" s="5"/>
      <c r="O12" s="5"/>
      <c r="P12" s="5"/>
      <c r="Q12" s="5"/>
      <c r="R12" s="5"/>
    </row>
    <row r="13" spans="1:18" ht="28" x14ac:dyDescent="0.25">
      <c r="A13" s="27">
        <v>1</v>
      </c>
      <c r="B13" s="5" t="s">
        <v>85</v>
      </c>
      <c r="C13" s="5" t="s">
        <v>74</v>
      </c>
      <c r="D13" s="5" t="s">
        <v>85</v>
      </c>
      <c r="E13" s="5" t="s">
        <v>59</v>
      </c>
      <c r="F13" s="5" t="s">
        <v>69</v>
      </c>
      <c r="G13" s="5" t="s">
        <v>70</v>
      </c>
      <c r="H13" s="5" t="s">
        <v>71</v>
      </c>
      <c r="I13" s="5"/>
      <c r="J13" s="5"/>
      <c r="K13" s="5"/>
      <c r="L13" s="5"/>
      <c r="M13" s="5"/>
      <c r="N13" s="5"/>
      <c r="O13" s="5"/>
      <c r="P13" s="5"/>
      <c r="Q13" s="5"/>
      <c r="R13" s="5"/>
    </row>
    <row r="14" spans="1:18" ht="28" x14ac:dyDescent="0.25">
      <c r="A14" s="27">
        <v>1</v>
      </c>
      <c r="B14" s="5" t="s">
        <v>86</v>
      </c>
      <c r="C14" s="5" t="s">
        <v>74</v>
      </c>
      <c r="D14" s="5" t="s">
        <v>86</v>
      </c>
      <c r="E14" s="5" t="s">
        <v>59</v>
      </c>
      <c r="F14" s="5" t="s">
        <v>87</v>
      </c>
      <c r="G14" s="5" t="s">
        <v>88</v>
      </c>
      <c r="H14" s="5" t="s">
        <v>89</v>
      </c>
      <c r="I14" s="5"/>
      <c r="J14" s="5"/>
      <c r="K14" s="5"/>
      <c r="L14" s="5"/>
      <c r="M14" s="5"/>
      <c r="N14" s="5"/>
      <c r="O14" s="5"/>
      <c r="P14" s="5"/>
      <c r="Q14" s="5"/>
      <c r="R14" s="5"/>
    </row>
    <row r="15" spans="1:18" x14ac:dyDescent="0.25">
      <c r="A15" s="27">
        <v>1</v>
      </c>
      <c r="B15" s="5" t="s">
        <v>131</v>
      </c>
      <c r="C15" s="5" t="s">
        <v>132</v>
      </c>
      <c r="D15" s="5" t="s">
        <v>131</v>
      </c>
      <c r="E15" s="5" t="s">
        <v>133</v>
      </c>
      <c r="F15" s="5" t="s">
        <v>134</v>
      </c>
      <c r="G15" s="5" t="s">
        <v>135</v>
      </c>
      <c r="H15" s="28" t="s">
        <v>136</v>
      </c>
      <c r="I15" s="5"/>
      <c r="J15" s="5"/>
      <c r="K15" s="5"/>
      <c r="L15" s="5"/>
      <c r="M15" s="5"/>
      <c r="N15" s="5"/>
      <c r="O15" s="5"/>
      <c r="P15" s="5"/>
      <c r="Q15" s="5"/>
      <c r="R15" s="5"/>
    </row>
    <row r="16" spans="1:18" x14ac:dyDescent="0.25">
      <c r="A16" s="27"/>
      <c r="B16" s="5"/>
      <c r="C16" s="5" t="s">
        <v>90</v>
      </c>
      <c r="D16" s="5" t="s">
        <v>131</v>
      </c>
      <c r="E16" s="5" t="s">
        <v>133</v>
      </c>
      <c r="F16" s="5" t="s">
        <v>134</v>
      </c>
      <c r="G16" s="5" t="s">
        <v>135</v>
      </c>
      <c r="H16" s="5" t="s">
        <v>137</v>
      </c>
      <c r="I16" s="5"/>
      <c r="J16" s="5"/>
      <c r="K16" s="5"/>
      <c r="L16" s="5"/>
      <c r="M16" s="5"/>
      <c r="N16" s="5"/>
      <c r="O16" s="5"/>
      <c r="P16" s="5"/>
      <c r="Q16" s="5"/>
      <c r="R16" s="5"/>
    </row>
    <row r="17" spans="1:18" x14ac:dyDescent="0.25">
      <c r="A17" s="27"/>
      <c r="B17" s="5"/>
      <c r="C17" s="5" t="s">
        <v>91</v>
      </c>
      <c r="D17" s="5" t="s">
        <v>131</v>
      </c>
      <c r="E17" s="5" t="s">
        <v>133</v>
      </c>
      <c r="F17" s="5" t="s">
        <v>134</v>
      </c>
      <c r="G17" s="5" t="s">
        <v>135</v>
      </c>
      <c r="H17" s="28" t="s">
        <v>138</v>
      </c>
      <c r="I17" s="5"/>
      <c r="J17" s="5"/>
      <c r="K17" s="5"/>
      <c r="L17" s="5"/>
      <c r="M17" s="5"/>
      <c r="N17" s="5"/>
      <c r="O17" s="5"/>
      <c r="P17" s="5"/>
      <c r="Q17" s="5"/>
      <c r="R17" s="5"/>
    </row>
    <row r="18" spans="1:18" x14ac:dyDescent="0.25">
      <c r="A18" s="27"/>
      <c r="B18" s="5"/>
      <c r="C18" s="5" t="s">
        <v>92</v>
      </c>
      <c r="D18" s="5" t="s">
        <v>131</v>
      </c>
      <c r="E18" s="5" t="s">
        <v>133</v>
      </c>
      <c r="F18" s="5" t="s">
        <v>134</v>
      </c>
      <c r="G18" s="5" t="s">
        <v>135</v>
      </c>
      <c r="H18" s="46" t="s">
        <v>139</v>
      </c>
      <c r="I18" s="5"/>
      <c r="J18" s="5"/>
      <c r="K18" s="5"/>
      <c r="L18" s="5"/>
      <c r="M18" s="5"/>
      <c r="N18" s="5"/>
      <c r="O18" s="5"/>
      <c r="P18" s="5"/>
      <c r="Q18" s="5"/>
      <c r="R18" s="5"/>
    </row>
    <row r="19" spans="1:18" x14ac:dyDescent="0.25">
      <c r="A19" s="27"/>
      <c r="B19" s="5"/>
      <c r="C19" s="5" t="s">
        <v>93</v>
      </c>
      <c r="D19" s="5" t="s">
        <v>131</v>
      </c>
      <c r="E19" s="5" t="s">
        <v>133</v>
      </c>
      <c r="F19" s="5" t="s">
        <v>134</v>
      </c>
      <c r="G19" s="5" t="s">
        <v>135</v>
      </c>
      <c r="H19" s="28" t="s">
        <v>140</v>
      </c>
      <c r="I19" s="5"/>
      <c r="J19" s="5"/>
      <c r="K19" s="5"/>
      <c r="L19" s="5"/>
      <c r="M19" s="5"/>
      <c r="N19" s="5"/>
      <c r="O19" s="5"/>
      <c r="P19" s="5"/>
      <c r="Q19" s="5"/>
      <c r="R19" s="5"/>
    </row>
    <row r="20" spans="1:18" x14ac:dyDescent="0.25">
      <c r="A20" s="27"/>
      <c r="B20" s="5"/>
      <c r="C20" s="5" t="s">
        <v>94</v>
      </c>
      <c r="D20" s="5" t="s">
        <v>141</v>
      </c>
      <c r="E20" s="5" t="s">
        <v>142</v>
      </c>
      <c r="F20" s="5" t="s">
        <v>143</v>
      </c>
      <c r="G20" s="5" t="s">
        <v>144</v>
      </c>
      <c r="H20" s="28" t="s">
        <v>145</v>
      </c>
      <c r="I20" s="5"/>
      <c r="J20" s="5"/>
      <c r="K20" s="5"/>
      <c r="L20" s="5"/>
      <c r="M20" s="5"/>
      <c r="N20" s="5"/>
      <c r="O20" s="5"/>
      <c r="P20" s="5"/>
      <c r="Q20" s="5"/>
      <c r="R20" s="5"/>
    </row>
    <row r="21" spans="1:18" x14ac:dyDescent="0.25">
      <c r="A21" s="27">
        <v>1</v>
      </c>
      <c r="B21" s="5" t="s">
        <v>146</v>
      </c>
      <c r="C21" s="5" t="s">
        <v>147</v>
      </c>
      <c r="D21" s="5" t="s">
        <v>146</v>
      </c>
      <c r="E21" s="5" t="s">
        <v>148</v>
      </c>
      <c r="F21" s="5" t="s">
        <v>149</v>
      </c>
      <c r="G21" s="5" t="s">
        <v>150</v>
      </c>
      <c r="H21" s="28" t="s">
        <v>151</v>
      </c>
      <c r="I21" s="5"/>
      <c r="J21" s="5"/>
      <c r="K21" s="5"/>
      <c r="L21" s="5"/>
      <c r="M21" s="5"/>
      <c r="N21" s="5"/>
      <c r="O21" s="5"/>
      <c r="P21" s="5"/>
      <c r="Q21" s="5"/>
      <c r="R21" s="5"/>
    </row>
    <row r="22" spans="1:18" x14ac:dyDescent="0.25">
      <c r="A22" s="27"/>
      <c r="B22" s="5"/>
      <c r="C22" s="5" t="s">
        <v>90</v>
      </c>
      <c r="D22" s="5" t="s">
        <v>9</v>
      </c>
      <c r="E22" s="5" t="s">
        <v>133</v>
      </c>
      <c r="F22" s="5" t="s">
        <v>134</v>
      </c>
      <c r="G22" s="5" t="s">
        <v>135</v>
      </c>
      <c r="H22" s="28" t="s">
        <v>152</v>
      </c>
      <c r="I22" s="5"/>
      <c r="J22" s="5"/>
      <c r="K22" s="5"/>
      <c r="L22" s="5"/>
      <c r="M22" s="5"/>
      <c r="N22" s="5"/>
      <c r="O22" s="5"/>
      <c r="P22" s="5"/>
      <c r="Q22" s="5"/>
      <c r="R22" s="5"/>
    </row>
    <row r="23" spans="1:18" ht="28" x14ac:dyDescent="0.25">
      <c r="A23" s="27">
        <v>1</v>
      </c>
      <c r="B23" s="5" t="s">
        <v>153</v>
      </c>
      <c r="C23" s="5" t="s">
        <v>154</v>
      </c>
      <c r="D23" s="5" t="s">
        <v>10</v>
      </c>
      <c r="E23" s="5" t="s">
        <v>133</v>
      </c>
      <c r="F23" s="5" t="s">
        <v>134</v>
      </c>
      <c r="G23" s="5" t="s">
        <v>135</v>
      </c>
      <c r="H23" s="28" t="s">
        <v>155</v>
      </c>
      <c r="I23" s="5"/>
      <c r="J23" s="5"/>
      <c r="K23" s="5"/>
      <c r="L23" s="5"/>
      <c r="M23" s="5"/>
      <c r="N23" s="5"/>
      <c r="O23" s="5"/>
      <c r="P23" s="5"/>
      <c r="Q23" s="5"/>
      <c r="R23" s="5"/>
    </row>
    <row r="24" spans="1:18" x14ac:dyDescent="0.25">
      <c r="A24" s="27"/>
      <c r="B24" s="5"/>
      <c r="C24" s="5" t="s">
        <v>156</v>
      </c>
      <c r="D24" s="5" t="s">
        <v>153</v>
      </c>
      <c r="E24" s="5" t="s">
        <v>133</v>
      </c>
      <c r="F24" s="5" t="s">
        <v>134</v>
      </c>
      <c r="G24" s="5" t="s">
        <v>135</v>
      </c>
      <c r="H24" s="28" t="s">
        <v>157</v>
      </c>
      <c r="I24" s="5"/>
      <c r="J24" s="5"/>
      <c r="K24" s="5"/>
      <c r="L24" s="5"/>
      <c r="M24" s="5"/>
      <c r="N24" s="5"/>
      <c r="O24" s="5"/>
      <c r="P24" s="5"/>
      <c r="Q24" s="5"/>
      <c r="R24" s="5"/>
    </row>
    <row r="25" spans="1:18" ht="28" x14ac:dyDescent="0.25">
      <c r="A25" s="27"/>
      <c r="B25" s="5"/>
      <c r="C25" s="5" t="s">
        <v>158</v>
      </c>
      <c r="D25" s="5" t="s">
        <v>153</v>
      </c>
      <c r="E25" s="5" t="s">
        <v>133</v>
      </c>
      <c r="F25" s="5" t="s">
        <v>134</v>
      </c>
      <c r="G25" s="5" t="s">
        <v>135</v>
      </c>
      <c r="H25" s="28" t="s">
        <v>159</v>
      </c>
      <c r="I25" s="5"/>
      <c r="J25" s="5"/>
      <c r="K25" s="5"/>
      <c r="L25" s="5"/>
      <c r="M25" s="5"/>
      <c r="N25" s="5"/>
      <c r="O25" s="5"/>
      <c r="P25" s="5"/>
      <c r="Q25" s="5"/>
      <c r="R25" s="5"/>
    </row>
    <row r="26" spans="1:18" x14ac:dyDescent="0.25">
      <c r="A26" s="27">
        <v>1</v>
      </c>
      <c r="B26" s="5" t="s">
        <v>160</v>
      </c>
      <c r="C26" s="5" t="s">
        <v>161</v>
      </c>
      <c r="D26" s="5" t="s">
        <v>160</v>
      </c>
      <c r="E26" s="5" t="s">
        <v>162</v>
      </c>
      <c r="F26" s="5" t="s">
        <v>163</v>
      </c>
      <c r="G26" s="5" t="s">
        <v>164</v>
      </c>
      <c r="H26" s="28" t="s">
        <v>165</v>
      </c>
      <c r="I26" s="5"/>
      <c r="J26" s="5"/>
      <c r="K26" s="5"/>
      <c r="L26" s="5"/>
      <c r="M26" s="5"/>
      <c r="N26" s="5"/>
      <c r="O26" s="5"/>
      <c r="P26" s="5"/>
      <c r="Q26" s="5"/>
      <c r="R26" s="5"/>
    </row>
    <row r="27" spans="1:18" x14ac:dyDescent="0.25">
      <c r="A27" s="27"/>
      <c r="B27" s="5"/>
      <c r="C27" s="5" t="s">
        <v>90</v>
      </c>
      <c r="D27" s="5" t="s">
        <v>11</v>
      </c>
      <c r="E27" s="5" t="s">
        <v>162</v>
      </c>
      <c r="F27" s="5" t="s">
        <v>163</v>
      </c>
      <c r="G27" s="5" t="s">
        <v>164</v>
      </c>
      <c r="H27" s="5" t="s">
        <v>166</v>
      </c>
      <c r="I27" s="5"/>
      <c r="J27" s="5"/>
      <c r="K27" s="5"/>
      <c r="L27" s="5"/>
      <c r="M27" s="5"/>
      <c r="N27" s="5"/>
      <c r="O27" s="5"/>
      <c r="P27" s="5"/>
      <c r="Q27" s="5"/>
      <c r="R27" s="5"/>
    </row>
    <row r="28" spans="1:18" x14ac:dyDescent="0.25">
      <c r="A28" s="27"/>
      <c r="B28" s="5"/>
      <c r="C28" s="5" t="s">
        <v>91</v>
      </c>
      <c r="D28" s="5" t="s">
        <v>11</v>
      </c>
      <c r="E28" s="5" t="s">
        <v>162</v>
      </c>
      <c r="F28" s="5" t="s">
        <v>163</v>
      </c>
      <c r="G28" s="5" t="s">
        <v>164</v>
      </c>
      <c r="H28" s="28" t="s">
        <v>167</v>
      </c>
      <c r="I28" s="5"/>
      <c r="J28" s="5"/>
      <c r="K28" s="5"/>
      <c r="L28" s="5"/>
      <c r="M28" s="5"/>
      <c r="N28" s="5"/>
      <c r="O28" s="5"/>
      <c r="P28" s="5"/>
      <c r="Q28" s="5"/>
      <c r="R28" s="5"/>
    </row>
    <row r="29" spans="1:18" x14ac:dyDescent="0.25">
      <c r="A29" s="27"/>
      <c r="B29" s="5"/>
      <c r="C29" s="5" t="s">
        <v>92</v>
      </c>
      <c r="D29" s="5" t="s">
        <v>11</v>
      </c>
      <c r="E29" s="5" t="s">
        <v>162</v>
      </c>
      <c r="F29" s="5" t="s">
        <v>163</v>
      </c>
      <c r="G29" s="5" t="s">
        <v>164</v>
      </c>
      <c r="H29" s="46" t="s">
        <v>168</v>
      </c>
      <c r="I29" s="5"/>
      <c r="J29" s="5"/>
      <c r="K29" s="5"/>
      <c r="L29" s="5"/>
      <c r="M29" s="5"/>
      <c r="N29" s="5"/>
      <c r="O29" s="5"/>
      <c r="P29" s="5"/>
      <c r="Q29" s="5"/>
      <c r="R29" s="5"/>
    </row>
    <row r="30" spans="1:18" x14ac:dyDescent="0.25">
      <c r="A30" s="27"/>
      <c r="B30" s="5"/>
      <c r="C30" s="5" t="s">
        <v>93</v>
      </c>
      <c r="D30" s="5" t="s">
        <v>11</v>
      </c>
      <c r="E30" s="5" t="s">
        <v>162</v>
      </c>
      <c r="F30" s="5" t="s">
        <v>163</v>
      </c>
      <c r="G30" s="5" t="s">
        <v>164</v>
      </c>
      <c r="H30" s="28" t="s">
        <v>169</v>
      </c>
    </row>
    <row r="31" spans="1:18" x14ac:dyDescent="0.25">
      <c r="A31" s="27"/>
      <c r="B31" s="5"/>
      <c r="C31" s="5" t="s">
        <v>94</v>
      </c>
      <c r="D31" s="5" t="s">
        <v>11</v>
      </c>
      <c r="E31" s="5" t="s">
        <v>162</v>
      </c>
      <c r="F31" s="5" t="s">
        <v>163</v>
      </c>
      <c r="G31" s="5" t="s">
        <v>164</v>
      </c>
      <c r="H31" s="28" t="s">
        <v>170</v>
      </c>
    </row>
    <row r="32" spans="1:18" x14ac:dyDescent="0.25">
      <c r="A32" s="27">
        <v>1</v>
      </c>
      <c r="B32" s="5" t="s">
        <v>171</v>
      </c>
      <c r="C32" s="5" t="s">
        <v>161</v>
      </c>
      <c r="D32" s="5" t="s">
        <v>171</v>
      </c>
      <c r="E32" s="5" t="s">
        <v>162</v>
      </c>
      <c r="F32" s="5" t="s">
        <v>163</v>
      </c>
      <c r="G32" s="5" t="s">
        <v>164</v>
      </c>
      <c r="H32" s="28" t="s">
        <v>172</v>
      </c>
    </row>
    <row r="33" spans="1:8" x14ac:dyDescent="0.25">
      <c r="A33" s="27"/>
      <c r="B33" s="5"/>
      <c r="C33" s="5" t="s">
        <v>90</v>
      </c>
      <c r="D33" s="5" t="s">
        <v>12</v>
      </c>
      <c r="E33" s="5" t="s">
        <v>162</v>
      </c>
      <c r="F33" s="5" t="s">
        <v>163</v>
      </c>
      <c r="G33" s="5" t="s">
        <v>164</v>
      </c>
      <c r="H33" s="28" t="s">
        <v>173</v>
      </c>
    </row>
    <row r="34" spans="1:8" ht="28" x14ac:dyDescent="0.25">
      <c r="A34" s="27">
        <v>1</v>
      </c>
      <c r="B34" s="5" t="s">
        <v>174</v>
      </c>
      <c r="C34" s="5" t="s">
        <v>154</v>
      </c>
      <c r="D34" s="5" t="s">
        <v>174</v>
      </c>
      <c r="E34" s="5" t="s">
        <v>133</v>
      </c>
      <c r="F34" s="5" t="s">
        <v>134</v>
      </c>
      <c r="G34" s="5" t="s">
        <v>135</v>
      </c>
      <c r="H34" s="28" t="s">
        <v>155</v>
      </c>
    </row>
    <row r="35" spans="1:8" x14ac:dyDescent="0.25">
      <c r="A35" s="27"/>
      <c r="B35" s="5"/>
      <c r="C35" s="5" t="s">
        <v>156</v>
      </c>
      <c r="D35" s="5" t="s">
        <v>13</v>
      </c>
      <c r="E35" s="5" t="s">
        <v>133</v>
      </c>
      <c r="F35" s="5" t="s">
        <v>134</v>
      </c>
      <c r="G35" s="5" t="s">
        <v>135</v>
      </c>
      <c r="H35" s="28" t="s">
        <v>157</v>
      </c>
    </row>
    <row r="36" spans="1:8" ht="28" x14ac:dyDescent="0.25">
      <c r="A36" s="27"/>
      <c r="B36" s="5"/>
      <c r="C36" s="5" t="s">
        <v>158</v>
      </c>
      <c r="D36" s="5" t="s">
        <v>13</v>
      </c>
      <c r="E36" s="5" t="s">
        <v>133</v>
      </c>
      <c r="F36" s="5" t="s">
        <v>134</v>
      </c>
      <c r="G36" s="5" t="s">
        <v>135</v>
      </c>
      <c r="H36" s="28" t="s">
        <v>175</v>
      </c>
    </row>
    <row r="37" spans="1:8" x14ac:dyDescent="0.25">
      <c r="A37" s="27">
        <v>1</v>
      </c>
      <c r="B37" s="5" t="s">
        <v>176</v>
      </c>
      <c r="C37" s="5" t="s">
        <v>177</v>
      </c>
      <c r="D37" s="5" t="s">
        <v>176</v>
      </c>
      <c r="E37" s="5" t="s">
        <v>133</v>
      </c>
      <c r="F37" s="5" t="s">
        <v>134</v>
      </c>
      <c r="G37" s="5" t="s">
        <v>135</v>
      </c>
      <c r="H37" s="28" t="s">
        <v>178</v>
      </c>
    </row>
    <row r="38" spans="1:8" x14ac:dyDescent="0.25">
      <c r="A38" s="27"/>
      <c r="B38" s="5"/>
      <c r="C38" s="5" t="s">
        <v>179</v>
      </c>
      <c r="D38" s="5" t="s">
        <v>176</v>
      </c>
      <c r="E38" s="5" t="s">
        <v>133</v>
      </c>
      <c r="F38" s="5" t="s">
        <v>134</v>
      </c>
      <c r="G38" s="5" t="s">
        <v>135</v>
      </c>
      <c r="H38" s="5" t="s">
        <v>180</v>
      </c>
    </row>
    <row r="39" spans="1:8" x14ac:dyDescent="0.25">
      <c r="A39" s="27">
        <v>1</v>
      </c>
      <c r="B39" s="5" t="s">
        <v>181</v>
      </c>
      <c r="C39" s="5" t="s">
        <v>132</v>
      </c>
      <c r="D39" s="5" t="s">
        <v>181</v>
      </c>
      <c r="E39" s="5" t="s">
        <v>133</v>
      </c>
      <c r="F39" s="5" t="s">
        <v>134</v>
      </c>
      <c r="G39" s="5" t="s">
        <v>135</v>
      </c>
      <c r="H39" s="28" t="s">
        <v>182</v>
      </c>
    </row>
    <row r="40" spans="1:8" x14ac:dyDescent="0.25">
      <c r="A40" s="27">
        <v>1</v>
      </c>
      <c r="B40" s="5" t="s">
        <v>183</v>
      </c>
      <c r="C40" s="5" t="s">
        <v>184</v>
      </c>
      <c r="D40" s="5" t="s">
        <v>183</v>
      </c>
      <c r="E40" s="5" t="s">
        <v>185</v>
      </c>
      <c r="F40" s="5" t="s">
        <v>186</v>
      </c>
      <c r="G40" s="5" t="s">
        <v>187</v>
      </c>
      <c r="H40" s="28" t="s">
        <v>188</v>
      </c>
    </row>
    <row r="41" spans="1:8" x14ac:dyDescent="0.25">
      <c r="A41" s="27">
        <v>1</v>
      </c>
      <c r="B41" s="5" t="s">
        <v>189</v>
      </c>
      <c r="C41" s="5" t="s">
        <v>184</v>
      </c>
      <c r="D41" s="5" t="s">
        <v>189</v>
      </c>
      <c r="E41" s="5" t="s">
        <v>185</v>
      </c>
      <c r="F41" s="5" t="s">
        <v>186</v>
      </c>
      <c r="G41" s="5" t="s">
        <v>187</v>
      </c>
      <c r="H41" s="28" t="s">
        <v>190</v>
      </c>
    </row>
    <row r="42" spans="1:8" x14ac:dyDescent="0.25">
      <c r="A42" s="27">
        <v>1</v>
      </c>
      <c r="B42" s="5" t="s">
        <v>191</v>
      </c>
      <c r="C42" s="5" t="s">
        <v>184</v>
      </c>
      <c r="D42" s="5" t="s">
        <v>191</v>
      </c>
      <c r="E42" s="5" t="s">
        <v>185</v>
      </c>
      <c r="F42" s="5"/>
      <c r="G42" s="5"/>
      <c r="H42" s="28" t="s">
        <v>192</v>
      </c>
    </row>
    <row r="43" spans="1:8" x14ac:dyDescent="0.25">
      <c r="A43" s="27">
        <v>1</v>
      </c>
      <c r="B43" s="5" t="s">
        <v>193</v>
      </c>
      <c r="C43" s="5" t="s">
        <v>132</v>
      </c>
      <c r="D43" s="5" t="s">
        <v>193</v>
      </c>
      <c r="E43" s="5" t="s">
        <v>133</v>
      </c>
      <c r="F43" s="5"/>
      <c r="G43" s="5"/>
      <c r="H43" s="28" t="s">
        <v>194</v>
      </c>
    </row>
    <row r="44" spans="1:8" x14ac:dyDescent="0.25">
      <c r="A44" s="27"/>
      <c r="B44" s="5"/>
      <c r="C44" s="5" t="s">
        <v>90</v>
      </c>
      <c r="D44" s="5" t="s">
        <v>193</v>
      </c>
      <c r="E44" s="5" t="s">
        <v>133</v>
      </c>
      <c r="F44" s="5"/>
      <c r="G44" s="5"/>
      <c r="H44" s="5" t="s">
        <v>195</v>
      </c>
    </row>
    <row r="45" spans="1:8" ht="28" x14ac:dyDescent="0.25">
      <c r="A45" s="27"/>
      <c r="B45" s="5"/>
      <c r="C45" s="5" t="s">
        <v>91</v>
      </c>
      <c r="D45" s="5" t="s">
        <v>193</v>
      </c>
      <c r="E45" s="5" t="s">
        <v>133</v>
      </c>
      <c r="F45" s="5"/>
      <c r="G45" s="5"/>
      <c r="H45" s="5" t="s">
        <v>196</v>
      </c>
    </row>
    <row r="46" spans="1:8" x14ac:dyDescent="0.25">
      <c r="A46" s="27">
        <v>1</v>
      </c>
      <c r="B46" s="5" t="s">
        <v>197</v>
      </c>
      <c r="C46" s="5" t="s">
        <v>198</v>
      </c>
      <c r="D46" s="5" t="s">
        <v>197</v>
      </c>
      <c r="E46" s="5" t="s">
        <v>133</v>
      </c>
      <c r="F46" s="5"/>
      <c r="G46" s="5"/>
      <c r="H46" s="46">
        <v>2000</v>
      </c>
    </row>
    <row r="47" spans="1:8" x14ac:dyDescent="0.25">
      <c r="A47" s="27">
        <v>1</v>
      </c>
      <c r="B47" s="5" t="s">
        <v>199</v>
      </c>
      <c r="C47" s="5" t="s">
        <v>200</v>
      </c>
      <c r="D47" s="5" t="s">
        <v>199</v>
      </c>
      <c r="E47" s="5" t="s">
        <v>133</v>
      </c>
      <c r="F47" s="5" t="s">
        <v>134</v>
      </c>
      <c r="G47" s="5" t="s">
        <v>135</v>
      </c>
      <c r="H47" s="28" t="s">
        <v>201</v>
      </c>
    </row>
    <row r="48" spans="1:8" x14ac:dyDescent="0.25">
      <c r="A48" s="27"/>
      <c r="B48" s="5"/>
      <c r="C48" s="5" t="s">
        <v>202</v>
      </c>
      <c r="D48" s="5" t="s">
        <v>17</v>
      </c>
      <c r="E48" s="5" t="s">
        <v>133</v>
      </c>
      <c r="F48" s="5" t="s">
        <v>134</v>
      </c>
      <c r="G48" s="5" t="s">
        <v>135</v>
      </c>
      <c r="H48" s="28" t="s">
        <v>203</v>
      </c>
    </row>
    <row r="49" spans="1:8" x14ac:dyDescent="0.25">
      <c r="A49" s="27"/>
      <c r="B49" s="5"/>
      <c r="C49" s="5" t="s">
        <v>204</v>
      </c>
      <c r="D49" s="5" t="s">
        <v>17</v>
      </c>
      <c r="E49" s="5" t="s">
        <v>133</v>
      </c>
      <c r="F49" s="5" t="s">
        <v>134</v>
      </c>
      <c r="G49" s="5" t="s">
        <v>135</v>
      </c>
      <c r="H49" s="28" t="s">
        <v>205</v>
      </c>
    </row>
    <row r="50" spans="1:8" ht="28" x14ac:dyDescent="0.25">
      <c r="A50" s="27"/>
      <c r="B50" s="5"/>
      <c r="C50" s="5" t="s">
        <v>206</v>
      </c>
      <c r="D50" s="5" t="s">
        <v>17</v>
      </c>
      <c r="E50" s="5" t="s">
        <v>133</v>
      </c>
      <c r="F50" s="5" t="s">
        <v>134</v>
      </c>
      <c r="G50" s="5" t="s">
        <v>135</v>
      </c>
      <c r="H50" s="28" t="s">
        <v>207</v>
      </c>
    </row>
    <row r="51" spans="1:8" ht="28" x14ac:dyDescent="0.25">
      <c r="A51" s="27"/>
      <c r="B51" s="5"/>
      <c r="C51" s="5" t="s">
        <v>208</v>
      </c>
      <c r="D51" s="5" t="s">
        <v>17</v>
      </c>
      <c r="E51" s="5" t="s">
        <v>133</v>
      </c>
      <c r="F51" s="5"/>
      <c r="G51" s="5"/>
      <c r="H51" s="28" t="s">
        <v>209</v>
      </c>
    </row>
    <row r="52" spans="1:8" ht="28" x14ac:dyDescent="0.25">
      <c r="A52" s="27"/>
      <c r="B52" s="5"/>
      <c r="C52" s="5" t="s">
        <v>210</v>
      </c>
      <c r="D52" s="5" t="s">
        <v>17</v>
      </c>
      <c r="E52" s="5" t="s">
        <v>133</v>
      </c>
      <c r="F52" s="5" t="s">
        <v>134</v>
      </c>
      <c r="G52" s="5" t="s">
        <v>135</v>
      </c>
      <c r="H52" s="28" t="s">
        <v>211</v>
      </c>
    </row>
    <row r="53" spans="1:8" x14ac:dyDescent="0.25">
      <c r="A53" s="27">
        <v>1</v>
      </c>
      <c r="B53" s="5" t="s">
        <v>212</v>
      </c>
      <c r="C53" s="5" t="s">
        <v>132</v>
      </c>
      <c r="D53" s="5" t="s">
        <v>212</v>
      </c>
      <c r="E53" s="5" t="s">
        <v>133</v>
      </c>
      <c r="F53" s="5" t="s">
        <v>134</v>
      </c>
      <c r="G53" s="5" t="s">
        <v>135</v>
      </c>
      <c r="H53" s="28" t="s">
        <v>213</v>
      </c>
    </row>
    <row r="54" spans="1:8" x14ac:dyDescent="0.25">
      <c r="A54" s="27"/>
      <c r="B54" s="5"/>
      <c r="C54" s="5" t="s">
        <v>90</v>
      </c>
      <c r="D54" s="5" t="s">
        <v>212</v>
      </c>
      <c r="E54" s="5" t="s">
        <v>133</v>
      </c>
      <c r="F54" s="5" t="s">
        <v>134</v>
      </c>
      <c r="G54" s="5" t="s">
        <v>135</v>
      </c>
      <c r="H54" s="28" t="s">
        <v>214</v>
      </c>
    </row>
    <row r="55" spans="1:8" x14ac:dyDescent="0.25">
      <c r="A55" s="27"/>
      <c r="B55" s="5"/>
      <c r="C55" s="5" t="s">
        <v>91</v>
      </c>
      <c r="D55" s="5" t="s">
        <v>212</v>
      </c>
      <c r="E55" s="5" t="s">
        <v>133</v>
      </c>
      <c r="F55" s="5" t="s">
        <v>134</v>
      </c>
      <c r="G55" s="5" t="s">
        <v>135</v>
      </c>
      <c r="H55" s="28" t="s">
        <v>215</v>
      </c>
    </row>
    <row r="56" spans="1:8" x14ac:dyDescent="0.25">
      <c r="A56" s="27"/>
      <c r="B56" s="5"/>
      <c r="C56" s="5" t="s">
        <v>92</v>
      </c>
      <c r="D56" s="5" t="s">
        <v>216</v>
      </c>
      <c r="E56" s="5" t="s">
        <v>162</v>
      </c>
      <c r="F56" s="5" t="s">
        <v>163</v>
      </c>
      <c r="G56" s="5" t="s">
        <v>164</v>
      </c>
      <c r="H56" s="28" t="s">
        <v>217</v>
      </c>
    </row>
    <row r="57" spans="1:8" x14ac:dyDescent="0.25">
      <c r="A57" s="27"/>
      <c r="B57" s="5"/>
      <c r="C57" s="5" t="s">
        <v>93</v>
      </c>
      <c r="D57" s="5" t="s">
        <v>216</v>
      </c>
      <c r="E57" s="5" t="s">
        <v>162</v>
      </c>
      <c r="F57" s="5" t="s">
        <v>163</v>
      </c>
      <c r="G57" s="5" t="s">
        <v>164</v>
      </c>
      <c r="H57" s="28" t="s">
        <v>218</v>
      </c>
    </row>
    <row r="58" spans="1:8" x14ac:dyDescent="0.25">
      <c r="A58" s="27"/>
      <c r="B58" s="5"/>
      <c r="C58" s="5" t="s">
        <v>94</v>
      </c>
      <c r="D58" s="5" t="s">
        <v>216</v>
      </c>
      <c r="E58" s="5" t="s">
        <v>162</v>
      </c>
      <c r="F58" s="5" t="s">
        <v>163</v>
      </c>
      <c r="G58" s="5" t="s">
        <v>164</v>
      </c>
      <c r="H58" s="28" t="s">
        <v>219</v>
      </c>
    </row>
    <row r="59" spans="1:8" x14ac:dyDescent="0.25">
      <c r="A59" s="27"/>
      <c r="B59" s="5"/>
      <c r="C59" s="5" t="s">
        <v>96</v>
      </c>
      <c r="D59" s="5" t="s">
        <v>216</v>
      </c>
      <c r="E59" s="5" t="s">
        <v>162</v>
      </c>
      <c r="F59" s="5" t="s">
        <v>163</v>
      </c>
      <c r="G59" s="5" t="s">
        <v>164</v>
      </c>
      <c r="H59" s="28" t="s">
        <v>220</v>
      </c>
    </row>
    <row r="60" spans="1:8" x14ac:dyDescent="0.25">
      <c r="A60" s="27"/>
      <c r="B60" s="5"/>
      <c r="C60" s="5" t="s">
        <v>97</v>
      </c>
      <c r="D60" s="5" t="s">
        <v>221</v>
      </c>
      <c r="E60" s="5" t="s">
        <v>185</v>
      </c>
      <c r="F60" s="5" t="s">
        <v>186</v>
      </c>
      <c r="G60" s="5" t="s">
        <v>187</v>
      </c>
      <c r="H60" s="28" t="s">
        <v>222</v>
      </c>
    </row>
    <row r="61" spans="1:8" x14ac:dyDescent="0.25">
      <c r="A61" s="27">
        <v>1</v>
      </c>
      <c r="B61" s="5" t="s">
        <v>223</v>
      </c>
      <c r="C61" s="5" t="s">
        <v>184</v>
      </c>
      <c r="D61" s="5" t="s">
        <v>223</v>
      </c>
      <c r="E61" s="5" t="s">
        <v>185</v>
      </c>
      <c r="F61" s="5" t="s">
        <v>186</v>
      </c>
      <c r="G61" s="5" t="s">
        <v>224</v>
      </c>
      <c r="H61" s="28"/>
    </row>
    <row r="62" spans="1:8" x14ac:dyDescent="0.25">
      <c r="A62" s="27">
        <v>1</v>
      </c>
      <c r="B62" s="5" t="s">
        <v>225</v>
      </c>
      <c r="C62" s="5" t="s">
        <v>184</v>
      </c>
      <c r="D62" s="5" t="s">
        <v>225</v>
      </c>
      <c r="E62" s="5" t="s">
        <v>185</v>
      </c>
      <c r="F62" s="5"/>
      <c r="G62" s="5"/>
      <c r="H62" s="28"/>
    </row>
    <row r="63" spans="1:8" ht="28" x14ac:dyDescent="0.25">
      <c r="A63" s="27">
        <v>1</v>
      </c>
      <c r="B63" s="5" t="s">
        <v>226</v>
      </c>
      <c r="C63" s="5" t="s">
        <v>184</v>
      </c>
      <c r="D63" s="5" t="s">
        <v>226</v>
      </c>
      <c r="E63" s="5" t="s">
        <v>185</v>
      </c>
      <c r="F63" s="5" t="s">
        <v>186</v>
      </c>
      <c r="G63" s="5" t="s">
        <v>187</v>
      </c>
      <c r="H63" s="28"/>
    </row>
    <row r="64" spans="1:8" x14ac:dyDescent="0.25">
      <c r="A64" s="27">
        <v>1</v>
      </c>
      <c r="B64" s="5" t="s">
        <v>227</v>
      </c>
      <c r="C64" s="5" t="s">
        <v>184</v>
      </c>
      <c r="D64" s="5" t="s">
        <v>227</v>
      </c>
      <c r="E64" s="5" t="s">
        <v>185</v>
      </c>
      <c r="F64" s="5"/>
      <c r="G64" s="5"/>
      <c r="H64" s="28"/>
    </row>
    <row r="65" spans="1:8" ht="28" x14ac:dyDescent="0.25">
      <c r="A65" s="27">
        <v>1</v>
      </c>
      <c r="B65" s="5" t="s">
        <v>228</v>
      </c>
      <c r="C65" s="5" t="s">
        <v>229</v>
      </c>
      <c r="D65" s="5" t="s">
        <v>230</v>
      </c>
      <c r="E65" s="5" t="s">
        <v>133</v>
      </c>
      <c r="F65" s="5" t="s">
        <v>134</v>
      </c>
      <c r="G65" s="5" t="s">
        <v>135</v>
      </c>
      <c r="H65" s="28" t="s">
        <v>231</v>
      </c>
    </row>
    <row r="66" spans="1:8" ht="28" x14ac:dyDescent="0.25">
      <c r="A66" s="27"/>
      <c r="B66" s="5"/>
      <c r="C66" s="5" t="s">
        <v>232</v>
      </c>
      <c r="D66" s="5" t="s">
        <v>21</v>
      </c>
      <c r="E66" s="5" t="s">
        <v>142</v>
      </c>
      <c r="F66" s="5" t="s">
        <v>143</v>
      </c>
      <c r="G66" s="5" t="s">
        <v>144</v>
      </c>
      <c r="H66" s="28">
        <v>20</v>
      </c>
    </row>
    <row r="67" spans="1:8" ht="28" x14ac:dyDescent="0.25">
      <c r="A67" s="27"/>
      <c r="B67" s="5"/>
      <c r="C67" s="5" t="s">
        <v>233</v>
      </c>
      <c r="D67" s="5" t="s">
        <v>21</v>
      </c>
      <c r="E67" s="5" t="s">
        <v>142</v>
      </c>
      <c r="F67" s="5" t="s">
        <v>143</v>
      </c>
      <c r="G67" s="5" t="s">
        <v>144</v>
      </c>
      <c r="H67" s="28">
        <v>-20</v>
      </c>
    </row>
    <row r="68" spans="1:8" ht="28" x14ac:dyDescent="0.25">
      <c r="A68" s="27"/>
      <c r="B68" s="5"/>
      <c r="C68" s="5" t="s">
        <v>234</v>
      </c>
      <c r="D68" s="5" t="s">
        <v>21</v>
      </c>
      <c r="E68" s="5" t="s">
        <v>142</v>
      </c>
      <c r="F68" s="5" t="s">
        <v>143</v>
      </c>
      <c r="G68" s="5" t="s">
        <v>144</v>
      </c>
      <c r="H68" s="28" t="s">
        <v>235</v>
      </c>
    </row>
    <row r="69" spans="1:8" ht="28" x14ac:dyDescent="0.25">
      <c r="A69" s="27"/>
      <c r="B69" s="5"/>
      <c r="C69" s="5" t="s">
        <v>236</v>
      </c>
      <c r="D69" s="5" t="s">
        <v>21</v>
      </c>
      <c r="E69" s="5" t="s">
        <v>185</v>
      </c>
      <c r="F69" s="5" t="s">
        <v>186</v>
      </c>
      <c r="G69" s="5" t="s">
        <v>187</v>
      </c>
      <c r="H69" s="28" t="s">
        <v>237</v>
      </c>
    </row>
    <row r="70" spans="1:8" ht="28" x14ac:dyDescent="0.25">
      <c r="A70" s="27"/>
      <c r="B70" s="5"/>
      <c r="C70" s="5" t="s">
        <v>238</v>
      </c>
      <c r="D70" s="5" t="s">
        <v>21</v>
      </c>
      <c r="E70" s="5"/>
      <c r="F70" s="5"/>
      <c r="G70" s="5"/>
      <c r="H70" s="28" t="s">
        <v>239</v>
      </c>
    </row>
    <row r="71" spans="1:8" ht="28" x14ac:dyDescent="0.25">
      <c r="A71" s="27"/>
      <c r="B71" s="5"/>
      <c r="C71" s="5" t="s">
        <v>240</v>
      </c>
      <c r="D71" s="5" t="s">
        <v>21</v>
      </c>
      <c r="E71" s="5"/>
      <c r="F71" s="5"/>
      <c r="G71" s="5"/>
      <c r="H71" s="28" t="s">
        <v>241</v>
      </c>
    </row>
    <row r="72" spans="1:8" ht="28" x14ac:dyDescent="0.25">
      <c r="A72" s="27"/>
      <c r="B72" s="5"/>
      <c r="C72" s="5" t="s">
        <v>242</v>
      </c>
      <c r="D72" s="5" t="s">
        <v>21</v>
      </c>
      <c r="E72" s="5"/>
      <c r="F72" s="5"/>
      <c r="G72" s="5"/>
      <c r="H72" s="28" t="s">
        <v>243</v>
      </c>
    </row>
    <row r="73" spans="1:8" ht="28" x14ac:dyDescent="0.25">
      <c r="A73" s="27"/>
      <c r="B73" s="5"/>
      <c r="C73" s="5" t="s">
        <v>244</v>
      </c>
      <c r="D73" s="5" t="s">
        <v>21</v>
      </c>
      <c r="E73" s="5"/>
      <c r="F73" s="5"/>
      <c r="G73" s="5"/>
      <c r="H73" s="28" t="s">
        <v>245</v>
      </c>
    </row>
    <row r="74" spans="1:8" ht="42" x14ac:dyDescent="0.25">
      <c r="A74" s="27"/>
      <c r="B74" s="5"/>
      <c r="C74" s="5" t="s">
        <v>246</v>
      </c>
      <c r="D74" s="5" t="s">
        <v>21</v>
      </c>
      <c r="E74" s="5"/>
      <c r="F74" s="5"/>
      <c r="G74" s="5"/>
      <c r="H74" s="47" t="s">
        <v>247</v>
      </c>
    </row>
    <row r="75" spans="1:8" ht="42" x14ac:dyDescent="0.25">
      <c r="A75" s="27"/>
      <c r="B75" s="5"/>
      <c r="C75" s="5" t="s">
        <v>248</v>
      </c>
      <c r="D75" s="5" t="s">
        <v>21</v>
      </c>
      <c r="E75" s="5"/>
      <c r="F75" s="5"/>
      <c r="G75" s="5"/>
      <c r="H75" s="28" t="s">
        <v>98</v>
      </c>
    </row>
    <row r="76" spans="1:8" ht="42" x14ac:dyDescent="0.25">
      <c r="A76" s="27"/>
      <c r="B76" s="5"/>
      <c r="C76" s="5" t="s">
        <v>99</v>
      </c>
      <c r="D76" s="5" t="s">
        <v>21</v>
      </c>
      <c r="E76" s="5"/>
      <c r="F76" s="5"/>
      <c r="G76" s="5"/>
      <c r="H76" s="28" t="s">
        <v>249</v>
      </c>
    </row>
    <row r="77" spans="1:8" ht="42" x14ac:dyDescent="0.25">
      <c r="A77" s="27"/>
      <c r="B77" s="5"/>
      <c r="C77" s="5" t="s">
        <v>100</v>
      </c>
      <c r="D77" s="5" t="s">
        <v>21</v>
      </c>
      <c r="E77" s="5"/>
      <c r="F77" s="5"/>
      <c r="G77" s="5"/>
      <c r="H77" s="28" t="s">
        <v>101</v>
      </c>
    </row>
    <row r="78" spans="1:8" ht="42" x14ac:dyDescent="0.25">
      <c r="A78" s="27"/>
      <c r="B78" s="5"/>
      <c r="C78" s="5" t="s">
        <v>102</v>
      </c>
      <c r="D78" s="5" t="s">
        <v>21</v>
      </c>
      <c r="E78" s="5"/>
      <c r="F78" s="5"/>
      <c r="G78" s="5"/>
      <c r="H78" s="28" t="s">
        <v>250</v>
      </c>
    </row>
    <row r="79" spans="1:8" ht="42" x14ac:dyDescent="0.25">
      <c r="A79" s="27"/>
      <c r="B79" s="5"/>
      <c r="C79" s="5" t="s">
        <v>103</v>
      </c>
      <c r="D79" s="5" t="s">
        <v>21</v>
      </c>
      <c r="E79" s="5"/>
      <c r="F79" s="5"/>
      <c r="G79" s="5"/>
      <c r="H79" s="28" t="s">
        <v>104</v>
      </c>
    </row>
    <row r="80" spans="1:8" ht="42" x14ac:dyDescent="0.25">
      <c r="A80" s="27"/>
      <c r="B80" s="5"/>
      <c r="C80" s="5" t="s">
        <v>105</v>
      </c>
      <c r="D80" s="5" t="s">
        <v>21</v>
      </c>
      <c r="E80" s="5"/>
      <c r="F80" s="5"/>
      <c r="G80" s="5"/>
      <c r="H80" s="28" t="s">
        <v>251</v>
      </c>
    </row>
    <row r="81" spans="1:8" ht="42" x14ac:dyDescent="0.25">
      <c r="A81" s="27"/>
      <c r="B81" s="5"/>
      <c r="C81" s="5" t="s">
        <v>106</v>
      </c>
      <c r="D81" s="5" t="s">
        <v>21</v>
      </c>
      <c r="E81" s="5"/>
      <c r="F81" s="5"/>
      <c r="G81" s="5"/>
      <c r="H81" s="28" t="s">
        <v>252</v>
      </c>
    </row>
    <row r="82" spans="1:8" ht="42" x14ac:dyDescent="0.25">
      <c r="A82" s="27"/>
      <c r="B82" s="5"/>
      <c r="C82" s="5" t="s">
        <v>107</v>
      </c>
      <c r="D82" s="5" t="s">
        <v>21</v>
      </c>
      <c r="E82" s="5"/>
      <c r="F82" s="5"/>
      <c r="G82" s="5"/>
      <c r="H82" s="28" t="s">
        <v>253</v>
      </c>
    </row>
    <row r="83" spans="1:8" ht="56" x14ac:dyDescent="0.25">
      <c r="A83" s="27">
        <v>1</v>
      </c>
      <c r="B83" s="5" t="s">
        <v>254</v>
      </c>
      <c r="C83" s="5" t="s">
        <v>255</v>
      </c>
      <c r="D83" s="5" t="s">
        <v>254</v>
      </c>
      <c r="E83" s="5" t="s">
        <v>59</v>
      </c>
      <c r="F83" s="5" t="s">
        <v>69</v>
      </c>
      <c r="G83" s="5" t="s">
        <v>70</v>
      </c>
      <c r="H83" s="28" t="s">
        <v>256</v>
      </c>
    </row>
    <row r="84" spans="1:8" ht="56" x14ac:dyDescent="0.25">
      <c r="A84" s="27"/>
      <c r="B84" s="5"/>
      <c r="C84" s="5" t="s">
        <v>257</v>
      </c>
      <c r="D84" s="5" t="s">
        <v>254</v>
      </c>
      <c r="E84" s="5" t="s">
        <v>59</v>
      </c>
      <c r="F84" s="5" t="s">
        <v>69</v>
      </c>
      <c r="G84" s="5" t="s">
        <v>70</v>
      </c>
      <c r="H84" s="28" t="s">
        <v>258</v>
      </c>
    </row>
    <row r="85" spans="1:8" ht="56" x14ac:dyDescent="0.25">
      <c r="A85" s="27"/>
      <c r="B85" s="5"/>
      <c r="C85" s="5" t="s">
        <v>259</v>
      </c>
      <c r="D85" s="5" t="s">
        <v>254</v>
      </c>
      <c r="E85" s="5" t="s">
        <v>59</v>
      </c>
      <c r="F85" s="5" t="s">
        <v>69</v>
      </c>
      <c r="G85" s="5" t="s">
        <v>70</v>
      </c>
      <c r="H85" s="28" t="s">
        <v>260</v>
      </c>
    </row>
    <row r="86" spans="1:8" ht="56" x14ac:dyDescent="0.25">
      <c r="A86" s="27"/>
      <c r="B86" s="5"/>
      <c r="C86" s="5" t="s">
        <v>261</v>
      </c>
      <c r="D86" s="5" t="s">
        <v>254</v>
      </c>
      <c r="E86" s="5" t="s">
        <v>59</v>
      </c>
      <c r="F86" s="5" t="s">
        <v>69</v>
      </c>
      <c r="G86" s="5" t="s">
        <v>70</v>
      </c>
      <c r="H86" s="28" t="s">
        <v>262</v>
      </c>
    </row>
    <row r="87" spans="1:8" ht="56" x14ac:dyDescent="0.25">
      <c r="A87" s="27">
        <v>1</v>
      </c>
      <c r="B87" s="5" t="s">
        <v>263</v>
      </c>
      <c r="C87" s="5" t="s">
        <v>264</v>
      </c>
      <c r="D87" s="5" t="s">
        <v>263</v>
      </c>
      <c r="E87" s="5" t="s">
        <v>59</v>
      </c>
      <c r="F87" s="5" t="s">
        <v>69</v>
      </c>
      <c r="G87" s="5" t="s">
        <v>70</v>
      </c>
      <c r="H87" s="28" t="s">
        <v>256</v>
      </c>
    </row>
    <row r="88" spans="1:8" ht="56" x14ac:dyDescent="0.25">
      <c r="A88" s="27"/>
      <c r="B88" s="5"/>
      <c r="C88" s="5" t="s">
        <v>265</v>
      </c>
      <c r="D88" s="5" t="s">
        <v>263</v>
      </c>
      <c r="E88" s="5" t="s">
        <v>59</v>
      </c>
      <c r="F88" s="5" t="s">
        <v>69</v>
      </c>
      <c r="G88" s="5" t="s">
        <v>70</v>
      </c>
      <c r="H88" s="28" t="s">
        <v>258</v>
      </c>
    </row>
    <row r="89" spans="1:8" ht="56" x14ac:dyDescent="0.25">
      <c r="A89" s="27"/>
      <c r="B89" s="5"/>
      <c r="C89" s="5" t="s">
        <v>266</v>
      </c>
      <c r="D89" s="5" t="s">
        <v>263</v>
      </c>
      <c r="E89" s="5" t="s">
        <v>59</v>
      </c>
      <c r="F89" s="5" t="s">
        <v>69</v>
      </c>
      <c r="G89" s="5" t="s">
        <v>70</v>
      </c>
      <c r="H89" s="28" t="s">
        <v>260</v>
      </c>
    </row>
    <row r="90" spans="1:8" ht="56" x14ac:dyDescent="0.25">
      <c r="A90" s="27"/>
      <c r="B90" s="5"/>
      <c r="C90" s="5" t="s">
        <v>267</v>
      </c>
      <c r="D90" s="5" t="s">
        <v>263</v>
      </c>
      <c r="E90" s="5" t="s">
        <v>59</v>
      </c>
      <c r="F90" s="5" t="s">
        <v>69</v>
      </c>
      <c r="G90" s="5" t="s">
        <v>70</v>
      </c>
      <c r="H90" s="28" t="s">
        <v>262</v>
      </c>
    </row>
    <row r="91" spans="1:8" ht="56" x14ac:dyDescent="0.25">
      <c r="A91" s="27">
        <v>1</v>
      </c>
      <c r="B91" s="5" t="s">
        <v>268</v>
      </c>
      <c r="C91" s="5" t="s">
        <v>269</v>
      </c>
      <c r="D91" s="5" t="s">
        <v>268</v>
      </c>
      <c r="E91" s="5" t="s">
        <v>59</v>
      </c>
      <c r="F91" s="5" t="s">
        <v>69</v>
      </c>
      <c r="G91" s="5" t="s">
        <v>70</v>
      </c>
      <c r="H91" s="28" t="s">
        <v>270</v>
      </c>
    </row>
    <row r="92" spans="1:8" ht="84" x14ac:dyDescent="0.25">
      <c r="A92" s="27">
        <v>1</v>
      </c>
      <c r="B92" s="5" t="s">
        <v>22</v>
      </c>
      <c r="C92" s="5" t="s">
        <v>271</v>
      </c>
      <c r="D92" s="5" t="s">
        <v>22</v>
      </c>
      <c r="E92" s="5" t="s">
        <v>59</v>
      </c>
      <c r="F92" s="5" t="s">
        <v>69</v>
      </c>
      <c r="G92" s="5" t="s">
        <v>272</v>
      </c>
      <c r="H92" s="28">
        <v>500</v>
      </c>
    </row>
    <row r="93" spans="1:8" ht="84" x14ac:dyDescent="0.25">
      <c r="A93" s="27">
        <v>1</v>
      </c>
      <c r="B93" s="5" t="s">
        <v>23</v>
      </c>
      <c r="C93" s="5" t="s">
        <v>273</v>
      </c>
      <c r="D93" s="5" t="s">
        <v>23</v>
      </c>
      <c r="E93" s="5" t="s">
        <v>59</v>
      </c>
      <c r="F93" s="5" t="s">
        <v>69</v>
      </c>
      <c r="G93" s="5" t="s">
        <v>272</v>
      </c>
      <c r="H93" s="28">
        <v>500</v>
      </c>
    </row>
    <row r="94" spans="1:8" ht="42" x14ac:dyDescent="0.25">
      <c r="A94" s="27">
        <v>1</v>
      </c>
      <c r="B94" s="5" t="s">
        <v>274</v>
      </c>
      <c r="C94" s="5" t="s">
        <v>275</v>
      </c>
      <c r="D94" s="5" t="s">
        <v>274</v>
      </c>
      <c r="E94" s="5" t="s">
        <v>59</v>
      </c>
      <c r="F94" s="5" t="s">
        <v>69</v>
      </c>
      <c r="G94" s="5" t="s">
        <v>70</v>
      </c>
      <c r="H94" s="28"/>
    </row>
    <row r="95" spans="1:8" ht="28" x14ac:dyDescent="0.25">
      <c r="A95" s="27">
        <v>1</v>
      </c>
      <c r="B95" s="5" t="s">
        <v>123</v>
      </c>
      <c r="C95" s="5" t="s">
        <v>276</v>
      </c>
      <c r="D95" s="5" t="s">
        <v>123</v>
      </c>
      <c r="E95" s="5" t="s">
        <v>59</v>
      </c>
      <c r="F95" s="5" t="s">
        <v>69</v>
      </c>
      <c r="G95" s="5" t="s">
        <v>70</v>
      </c>
      <c r="H95" s="28">
        <v>500</v>
      </c>
    </row>
    <row r="96" spans="1:8" ht="28" x14ac:dyDescent="0.25">
      <c r="A96" s="27">
        <v>1</v>
      </c>
      <c r="B96" s="5" t="s">
        <v>124</v>
      </c>
      <c r="C96" s="5" t="s">
        <v>277</v>
      </c>
      <c r="D96" s="5" t="s">
        <v>124</v>
      </c>
      <c r="E96" s="5" t="s">
        <v>59</v>
      </c>
      <c r="F96" s="5" t="s">
        <v>69</v>
      </c>
      <c r="G96" s="5" t="s">
        <v>70</v>
      </c>
      <c r="H96" s="28">
        <v>500</v>
      </c>
    </row>
    <row r="97" spans="1:18" x14ac:dyDescent="0.25">
      <c r="A97" s="27">
        <v>1</v>
      </c>
      <c r="B97" s="5" t="s">
        <v>113</v>
      </c>
      <c r="C97" s="5" t="s">
        <v>74</v>
      </c>
      <c r="D97" s="5"/>
      <c r="E97" s="5" t="s">
        <v>59</v>
      </c>
      <c r="F97" s="5"/>
      <c r="G97" s="5"/>
      <c r="H97" s="28" t="s">
        <v>95</v>
      </c>
    </row>
    <row r="98" spans="1:18" ht="28" x14ac:dyDescent="0.25">
      <c r="A98" s="27"/>
      <c r="B98" s="5"/>
      <c r="C98" s="5" t="s">
        <v>278</v>
      </c>
      <c r="D98" s="5" t="s">
        <v>113</v>
      </c>
      <c r="E98" s="5" t="s">
        <v>279</v>
      </c>
      <c r="F98" s="5"/>
      <c r="G98" s="5"/>
      <c r="H98" s="18" t="s">
        <v>280</v>
      </c>
      <c r="I98" s="5"/>
      <c r="J98" s="5"/>
      <c r="K98" s="5"/>
      <c r="L98" s="5"/>
      <c r="M98" s="5"/>
      <c r="N98" s="5"/>
      <c r="O98" s="5"/>
      <c r="P98" s="5"/>
      <c r="Q98" s="5"/>
      <c r="R98" s="5"/>
    </row>
    <row r="99" spans="1:18" ht="30.75" customHeight="1" x14ac:dyDescent="0.25">
      <c r="A99" s="27"/>
      <c r="B99" s="5" t="s">
        <v>281</v>
      </c>
      <c r="C99" s="5" t="s">
        <v>282</v>
      </c>
      <c r="D99" s="5"/>
      <c r="E99" s="5"/>
      <c r="F99" s="5"/>
      <c r="G99" s="5"/>
      <c r="H99" s="28" t="s">
        <v>283</v>
      </c>
    </row>
    <row r="100" spans="1:18" x14ac:dyDescent="0.25">
      <c r="A100" s="27"/>
      <c r="B100" s="5"/>
      <c r="C100" s="5"/>
      <c r="D100" s="5"/>
      <c r="E100" s="5"/>
      <c r="F100" s="5"/>
      <c r="G100" s="5"/>
      <c r="H100" s="28"/>
    </row>
    <row r="101" spans="1:18" x14ac:dyDescent="0.25">
      <c r="A101" s="27"/>
      <c r="B101" s="5"/>
      <c r="C101" s="5"/>
      <c r="D101" s="5"/>
      <c r="E101" s="5"/>
      <c r="F101" s="5"/>
      <c r="G101" s="5"/>
      <c r="H101" s="28"/>
    </row>
    <row r="102" spans="1:18" x14ac:dyDescent="0.25">
      <c r="A102" s="27"/>
      <c r="B102" s="5"/>
      <c r="C102" s="5"/>
      <c r="D102" s="5"/>
      <c r="E102" s="5"/>
      <c r="F102" s="5"/>
      <c r="G102" s="5"/>
      <c r="H102" s="28"/>
    </row>
    <row r="103" spans="1:18" x14ac:dyDescent="0.25">
      <c r="A103" s="27"/>
      <c r="B103" s="5"/>
      <c r="C103" s="5"/>
      <c r="D103" s="5"/>
      <c r="E103" s="5"/>
      <c r="F103" s="5"/>
      <c r="G103" s="5"/>
      <c r="H103" s="28"/>
    </row>
  </sheetData>
  <autoFilter ref="A2:T5"/>
  <mergeCells count="7">
    <mergeCell ref="R1:R2"/>
    <mergeCell ref="A1:A2"/>
    <mergeCell ref="B1:B2"/>
    <mergeCell ref="C1:E1"/>
    <mergeCell ref="F1:F2"/>
    <mergeCell ref="G1:G2"/>
    <mergeCell ref="H1:Q1"/>
  </mergeCells>
  <phoneticPr fontId="8" type="noConversion"/>
  <dataValidations count="1">
    <dataValidation errorStyle="information" allowBlank="1" showInputMessage="1" showErrorMessage="1" sqref="D1:D1048576"/>
  </dataValidations>
  <hyperlinks>
    <hyperlink ref="H98" r:id="rId1" location="/activityGroupMgr"/>
  </hyperlinks>
  <pageMargins left="0.7" right="0.7" top="0.75" bottom="0.75" header="0.3" footer="0.3"/>
  <pageSetup paperSize="9" orientation="portrait" horizontalDpi="300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A1:AB60"/>
  <sheetViews>
    <sheetView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E16" sqref="E16"/>
    </sheetView>
  </sheetViews>
  <sheetFormatPr defaultColWidth="9" defaultRowHeight="14" x14ac:dyDescent="0.25"/>
  <cols>
    <col min="1" max="1" width="8.453125" style="59" customWidth="1"/>
    <col min="2" max="2" width="18.6328125" customWidth="1"/>
    <col min="3" max="3" width="21.36328125" customWidth="1"/>
    <col min="4" max="4" width="17.7265625" customWidth="1"/>
    <col min="5" max="5" width="18.26953125" customWidth="1"/>
    <col min="6" max="6" width="23.90625" customWidth="1"/>
    <col min="7" max="7" width="14" customWidth="1"/>
    <col min="8" max="8" width="27.26953125" customWidth="1"/>
    <col min="9" max="9" width="18.90625" customWidth="1"/>
    <col min="18" max="18" width="19.453125" customWidth="1"/>
    <col min="19" max="19" width="18.90625" customWidth="1"/>
  </cols>
  <sheetData>
    <row r="1" spans="1:28" s="1" customFormat="1" ht="48" customHeight="1" x14ac:dyDescent="0.25">
      <c r="A1" s="58"/>
      <c r="B1" s="3"/>
      <c r="C1" s="8">
        <f>COUNTA($E$4:$E$4998)+3</f>
        <v>3</v>
      </c>
      <c r="E1" s="16" t="s">
        <v>48</v>
      </c>
      <c r="F1" s="17" t="s">
        <v>110</v>
      </c>
    </row>
    <row r="2" spans="1:28" ht="16" customHeight="1" x14ac:dyDescent="0.25">
      <c r="A2" s="58"/>
      <c r="B2" s="107" t="s">
        <v>115</v>
      </c>
      <c r="C2" s="107" t="s">
        <v>116</v>
      </c>
      <c r="D2" s="109" t="s">
        <v>36</v>
      </c>
      <c r="E2" s="110"/>
      <c r="F2" s="111" t="s">
        <v>117</v>
      </c>
      <c r="G2" s="111" t="s">
        <v>33</v>
      </c>
      <c r="H2" s="113" t="s">
        <v>37</v>
      </c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5"/>
      <c r="AB2" s="103" t="s">
        <v>31</v>
      </c>
    </row>
    <row r="3" spans="1:28" ht="28" x14ac:dyDescent="0.25">
      <c r="A3" s="58"/>
      <c r="B3" s="108"/>
      <c r="C3" s="108"/>
      <c r="D3" s="57" t="s">
        <v>118</v>
      </c>
      <c r="E3" s="57" t="s">
        <v>119</v>
      </c>
      <c r="F3" s="112"/>
      <c r="G3" s="112"/>
      <c r="H3" s="60" t="s">
        <v>508</v>
      </c>
      <c r="I3" s="60" t="s">
        <v>509</v>
      </c>
      <c r="J3" s="60" t="s">
        <v>510</v>
      </c>
      <c r="K3" s="60" t="s">
        <v>511</v>
      </c>
      <c r="L3" s="60" t="s">
        <v>512</v>
      </c>
      <c r="M3" s="60" t="s">
        <v>513</v>
      </c>
      <c r="N3" s="60" t="s">
        <v>514</v>
      </c>
      <c r="O3" s="60" t="s">
        <v>515</v>
      </c>
      <c r="P3" s="60" t="s">
        <v>516</v>
      </c>
      <c r="Q3" s="60" t="s">
        <v>517</v>
      </c>
      <c r="R3" s="60" t="s">
        <v>518</v>
      </c>
      <c r="S3" s="60" t="s">
        <v>519</v>
      </c>
      <c r="T3" s="60" t="s">
        <v>520</v>
      </c>
      <c r="U3" s="60" t="s">
        <v>521</v>
      </c>
      <c r="V3" s="60" t="s">
        <v>522</v>
      </c>
      <c r="W3" s="60" t="s">
        <v>523</v>
      </c>
      <c r="X3" s="60" t="s">
        <v>524</v>
      </c>
      <c r="Y3" s="60" t="s">
        <v>525</v>
      </c>
      <c r="Z3" s="60" t="s">
        <v>526</v>
      </c>
      <c r="AA3" s="60" t="s">
        <v>527</v>
      </c>
      <c r="AB3" s="103"/>
    </row>
    <row r="4" spans="1:28" s="1" customFormat="1" x14ac:dyDescent="0.25">
      <c r="A4" s="58"/>
      <c r="B4" s="42"/>
      <c r="C4" s="5"/>
      <c r="D4" s="42"/>
      <c r="E4" s="42"/>
      <c r="F4" s="5"/>
      <c r="G4" s="5"/>
      <c r="H4" s="43"/>
      <c r="I4" s="43"/>
      <c r="J4" s="43"/>
      <c r="K4" s="43"/>
      <c r="L4" s="5"/>
      <c r="M4" s="5"/>
      <c r="N4" s="5"/>
      <c r="O4" s="5"/>
      <c r="P4" s="5"/>
      <c r="Q4" s="5"/>
      <c r="R4" s="43"/>
      <c r="S4" s="43"/>
      <c r="T4" s="43"/>
      <c r="U4" s="43"/>
      <c r="V4" s="5"/>
      <c r="W4" s="5"/>
      <c r="X4" s="5"/>
      <c r="Y4" s="5"/>
      <c r="Z4" s="5"/>
      <c r="AA4" s="5"/>
      <c r="AB4" s="5"/>
    </row>
    <row r="5" spans="1:28" s="1" customFormat="1" x14ac:dyDescent="0.25">
      <c r="A5" s="58"/>
      <c r="B5" s="5"/>
      <c r="C5" s="5"/>
      <c r="D5" s="5"/>
      <c r="E5" s="5"/>
      <c r="F5" s="82"/>
      <c r="G5" s="82"/>
      <c r="H5" s="42"/>
      <c r="I5" s="42"/>
      <c r="J5" s="42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</row>
    <row r="6" spans="1:28" s="1" customFormat="1" x14ac:dyDescent="0.25">
      <c r="A6" s="58"/>
      <c r="B6" s="5"/>
      <c r="C6" s="5"/>
      <c r="D6" s="5"/>
      <c r="E6" s="5"/>
      <c r="F6" s="82"/>
      <c r="G6" s="82"/>
      <c r="H6" s="61"/>
      <c r="I6" s="61"/>
      <c r="J6" s="61"/>
      <c r="K6" s="28"/>
      <c r="L6" s="5"/>
      <c r="M6" s="5"/>
      <c r="N6" s="5"/>
      <c r="O6" s="5"/>
      <c r="P6" s="5"/>
      <c r="Q6" s="5"/>
      <c r="R6" s="28"/>
      <c r="S6" s="61"/>
      <c r="T6" s="28"/>
      <c r="U6" s="28"/>
      <c r="V6" s="5"/>
      <c r="W6" s="5"/>
      <c r="X6" s="5"/>
      <c r="Y6" s="5"/>
      <c r="Z6" s="5"/>
      <c r="AA6" s="5"/>
      <c r="AB6" s="5"/>
    </row>
    <row r="7" spans="1:28" s="1" customFormat="1" x14ac:dyDescent="0.25">
      <c r="A7" s="58"/>
      <c r="B7" s="5"/>
      <c r="C7" s="5"/>
      <c r="D7" s="5"/>
      <c r="E7" s="5"/>
      <c r="F7" s="82"/>
      <c r="G7" s="82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</row>
    <row r="8" spans="1:28" s="1" customFormat="1" ht="14.25" customHeight="1" x14ac:dyDescent="0.25">
      <c r="A8" s="58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</row>
    <row r="9" spans="1:28" s="30" customFormat="1" x14ac:dyDescent="0.25">
      <c r="A9" s="58"/>
      <c r="B9" s="5"/>
      <c r="C9" s="5"/>
      <c r="D9" s="5"/>
      <c r="E9" s="5"/>
      <c r="F9" s="5"/>
      <c r="G9" s="5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</row>
    <row r="10" spans="1:28" s="1" customFormat="1" x14ac:dyDescent="0.25">
      <c r="A10" s="58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</row>
    <row r="11" spans="1:28" s="1" customFormat="1" x14ac:dyDescent="0.25">
      <c r="A11" s="58"/>
      <c r="B11" s="5"/>
      <c r="C11" s="5"/>
      <c r="D11" s="5"/>
      <c r="E11" s="5"/>
      <c r="F11" s="5"/>
      <c r="G11" s="5"/>
      <c r="H11" s="31"/>
      <c r="I11" s="5"/>
      <c r="J11" s="5"/>
      <c r="K11" s="5"/>
      <c r="L11" s="5"/>
      <c r="M11" s="5"/>
      <c r="N11" s="5"/>
      <c r="O11" s="5"/>
      <c r="P11" s="5"/>
      <c r="Q11" s="5"/>
      <c r="R11" s="31"/>
      <c r="S11" s="5"/>
      <c r="T11" s="5"/>
      <c r="U11" s="5"/>
      <c r="V11" s="5"/>
      <c r="W11" s="5"/>
      <c r="X11" s="5"/>
      <c r="Y11" s="5"/>
      <c r="Z11" s="5"/>
      <c r="AA11" s="5"/>
      <c r="AB11" s="5"/>
    </row>
    <row r="12" spans="1:28" s="1" customFormat="1" x14ac:dyDescent="0.25">
      <c r="A12" s="58"/>
      <c r="B12" s="5"/>
      <c r="C12" s="5"/>
      <c r="D12" s="5"/>
      <c r="E12" s="5"/>
      <c r="F12" s="5"/>
      <c r="G12" s="5"/>
      <c r="H12" s="31"/>
      <c r="I12" s="5"/>
      <c r="J12" s="5"/>
      <c r="K12" s="5"/>
      <c r="L12" s="5"/>
      <c r="M12" s="5"/>
      <c r="N12" s="5"/>
      <c r="O12" s="5"/>
      <c r="P12" s="5"/>
      <c r="Q12" s="5"/>
      <c r="R12" s="31"/>
      <c r="S12" s="5"/>
      <c r="T12" s="5"/>
      <c r="U12" s="5"/>
      <c r="V12" s="5"/>
      <c r="W12" s="5"/>
      <c r="X12" s="5"/>
      <c r="Y12" s="5"/>
      <c r="Z12" s="5"/>
      <c r="AA12" s="5"/>
      <c r="AB12" s="5"/>
    </row>
    <row r="13" spans="1:28" s="1" customFormat="1" x14ac:dyDescent="0.25">
      <c r="A13" s="58"/>
      <c r="B13" s="5"/>
      <c r="C13" s="5"/>
      <c r="D13" s="42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</row>
    <row r="14" spans="1:28" s="1" customFormat="1" x14ac:dyDescent="0.25">
      <c r="A14" s="58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</row>
    <row r="15" spans="1:28" s="1" customFormat="1" x14ac:dyDescent="0.25">
      <c r="A15" s="58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</row>
    <row r="16" spans="1:28" s="1" customFormat="1" x14ac:dyDescent="0.25">
      <c r="A16" s="58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</row>
    <row r="17" spans="1:28" s="1" customFormat="1" x14ac:dyDescent="0.25">
      <c r="A17" s="58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</row>
    <row r="18" spans="1:28" s="1" customFormat="1" x14ac:dyDescent="0.25">
      <c r="A18" s="58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</row>
    <row r="19" spans="1:28" s="1" customFormat="1" x14ac:dyDescent="0.25">
      <c r="A19" s="58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</row>
    <row r="20" spans="1:28" s="1" customFormat="1" x14ac:dyDescent="0.25">
      <c r="A20" s="58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</row>
    <row r="21" spans="1:28" s="1" customFormat="1" x14ac:dyDescent="0.25">
      <c r="A21" s="58"/>
      <c r="B21" s="5"/>
      <c r="C21" s="5"/>
      <c r="D21" s="5"/>
      <c r="E21" s="5"/>
      <c r="F21" s="5"/>
      <c r="G21" s="5"/>
      <c r="H21" s="31"/>
      <c r="I21" s="5"/>
      <c r="J21" s="5"/>
      <c r="K21" s="5"/>
      <c r="L21" s="5"/>
      <c r="M21" s="5"/>
      <c r="N21" s="5"/>
      <c r="O21" s="5"/>
      <c r="P21" s="5"/>
      <c r="Q21" s="5"/>
      <c r="R21" s="31"/>
      <c r="S21" s="5"/>
      <c r="T21" s="5"/>
      <c r="U21" s="5"/>
      <c r="V21" s="5"/>
      <c r="W21" s="5"/>
      <c r="X21" s="5"/>
      <c r="Y21" s="5"/>
      <c r="Z21" s="5"/>
      <c r="AA21" s="5"/>
      <c r="AB21" s="5"/>
    </row>
    <row r="22" spans="1:28" s="1" customFormat="1" x14ac:dyDescent="0.25">
      <c r="A22" s="58"/>
      <c r="B22" s="5"/>
      <c r="C22" s="5"/>
      <c r="D22" s="5"/>
      <c r="E22" s="5"/>
      <c r="F22" s="5"/>
      <c r="G22" s="5"/>
      <c r="H22" s="32"/>
      <c r="I22" s="5"/>
      <c r="J22" s="5"/>
      <c r="K22" s="5"/>
      <c r="L22" s="5"/>
      <c r="M22" s="5"/>
      <c r="N22" s="5"/>
      <c r="O22" s="5"/>
      <c r="P22" s="5"/>
      <c r="Q22" s="5"/>
      <c r="R22" s="32"/>
      <c r="S22" s="5"/>
      <c r="T22" s="5"/>
      <c r="U22" s="5"/>
      <c r="V22" s="5"/>
      <c r="W22" s="5"/>
      <c r="X22" s="5"/>
      <c r="Y22" s="5"/>
      <c r="Z22" s="5"/>
      <c r="AA22" s="5"/>
      <c r="AB22" s="5"/>
    </row>
    <row r="23" spans="1:28" s="1" customFormat="1" x14ac:dyDescent="0.25">
      <c r="A23" s="58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</row>
    <row r="24" spans="1:28" s="1" customFormat="1" x14ac:dyDescent="0.25">
      <c r="A24" s="58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</row>
    <row r="25" spans="1:28" s="1" customFormat="1" x14ac:dyDescent="0.25">
      <c r="A25" s="58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</row>
    <row r="26" spans="1:28" s="1" customFormat="1" x14ac:dyDescent="0.25">
      <c r="A26" s="58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</row>
    <row r="27" spans="1:28" s="1" customFormat="1" x14ac:dyDescent="0.25">
      <c r="A27" s="58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</row>
    <row r="28" spans="1:28" s="1" customFormat="1" x14ac:dyDescent="0.25">
      <c r="A28" s="58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</row>
    <row r="29" spans="1:28" s="1" customFormat="1" x14ac:dyDescent="0.25">
      <c r="A29" s="58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</row>
    <row r="30" spans="1:28" s="1" customFormat="1" x14ac:dyDescent="0.25">
      <c r="A30" s="58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</row>
    <row r="31" spans="1:28" s="1" customFormat="1" x14ac:dyDescent="0.25">
      <c r="A31" s="58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</row>
    <row r="32" spans="1:28" s="1" customFormat="1" x14ac:dyDescent="0.25">
      <c r="A32" s="58"/>
      <c r="B32" s="5"/>
      <c r="C32" s="5"/>
      <c r="D32" s="5"/>
      <c r="E32" s="5"/>
      <c r="F32" s="5"/>
      <c r="G32" s="5"/>
      <c r="H32" s="31"/>
      <c r="I32" s="5"/>
      <c r="J32" s="5"/>
      <c r="K32" s="5"/>
      <c r="L32" s="5"/>
      <c r="M32" s="5"/>
      <c r="N32" s="5"/>
      <c r="O32" s="5"/>
      <c r="P32" s="5"/>
      <c r="Q32" s="5"/>
      <c r="R32" s="31"/>
      <c r="S32" s="5"/>
      <c r="T32" s="5"/>
      <c r="U32" s="5"/>
      <c r="V32" s="5"/>
      <c r="W32" s="5"/>
      <c r="X32" s="5"/>
      <c r="Y32" s="5"/>
      <c r="Z32" s="5"/>
      <c r="AA32" s="5"/>
      <c r="AB32" s="5"/>
    </row>
    <row r="33" spans="1:28" s="1" customFormat="1" x14ac:dyDescent="0.25">
      <c r="A33" s="58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</row>
    <row r="34" spans="1:28" s="1" customFormat="1" x14ac:dyDescent="0.25">
      <c r="A34" s="58"/>
      <c r="B34" s="5"/>
      <c r="C34" s="5"/>
      <c r="D34" s="5"/>
      <c r="E34" s="5"/>
      <c r="F34" s="29"/>
      <c r="G34" s="29"/>
      <c r="H34" s="29"/>
      <c r="I34" s="5"/>
      <c r="J34" s="5"/>
      <c r="K34" s="5"/>
      <c r="L34" s="5"/>
      <c r="M34" s="5"/>
      <c r="N34" s="5"/>
      <c r="O34" s="5"/>
      <c r="P34" s="5"/>
      <c r="Q34" s="5"/>
      <c r="R34" s="29"/>
      <c r="S34" s="5"/>
      <c r="T34" s="5"/>
      <c r="U34" s="5"/>
      <c r="V34" s="5"/>
      <c r="W34" s="5"/>
      <c r="X34" s="5"/>
      <c r="Y34" s="5"/>
      <c r="Z34" s="5"/>
      <c r="AA34" s="5"/>
      <c r="AB34" s="5"/>
    </row>
    <row r="35" spans="1:28" s="1" customFormat="1" x14ac:dyDescent="0.25">
      <c r="A35" s="58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</row>
    <row r="36" spans="1:28" s="1" customFormat="1" x14ac:dyDescent="0.25">
      <c r="A36" s="58"/>
      <c r="B36" s="5"/>
      <c r="C36" s="5"/>
      <c r="D36" s="5"/>
      <c r="E36" s="5"/>
      <c r="F36" s="5"/>
      <c r="G36" s="5"/>
      <c r="H36" s="31"/>
      <c r="I36" s="5"/>
      <c r="J36" s="5"/>
      <c r="K36" s="5"/>
      <c r="L36" s="5"/>
      <c r="M36" s="5"/>
      <c r="N36" s="5"/>
      <c r="O36" s="5"/>
      <c r="P36" s="5"/>
      <c r="Q36" s="5"/>
      <c r="R36" s="31"/>
      <c r="S36" s="5"/>
      <c r="T36" s="5"/>
      <c r="U36" s="5"/>
      <c r="V36" s="5"/>
      <c r="W36" s="5"/>
      <c r="X36" s="5"/>
      <c r="Y36" s="5"/>
      <c r="Z36" s="5"/>
      <c r="AA36" s="5"/>
      <c r="AB36" s="5"/>
    </row>
    <row r="37" spans="1:28" s="1" customFormat="1" x14ac:dyDescent="0.25">
      <c r="A37" s="58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</row>
    <row r="38" spans="1:28" s="1" customFormat="1" x14ac:dyDescent="0.25">
      <c r="A38" s="58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</row>
    <row r="39" spans="1:28" s="1" customFormat="1" x14ac:dyDescent="0.25">
      <c r="A39" s="58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</row>
    <row r="40" spans="1:28" s="1" customFormat="1" x14ac:dyDescent="0.25">
      <c r="A40" s="58"/>
      <c r="B40" s="5"/>
      <c r="C40" s="5"/>
      <c r="D40" s="5"/>
      <c r="E40" s="5"/>
      <c r="F40" s="5"/>
      <c r="G40" s="5"/>
      <c r="H40" s="29"/>
      <c r="I40" s="5"/>
      <c r="J40" s="5"/>
      <c r="K40" s="5"/>
      <c r="L40" s="5"/>
      <c r="M40" s="5"/>
      <c r="N40" s="5"/>
      <c r="O40" s="5"/>
      <c r="P40" s="5"/>
      <c r="Q40" s="5"/>
      <c r="R40" s="29"/>
      <c r="S40" s="5"/>
      <c r="T40" s="5"/>
      <c r="U40" s="5"/>
      <c r="V40" s="5"/>
      <c r="W40" s="5"/>
      <c r="X40" s="5"/>
      <c r="Y40" s="5"/>
      <c r="Z40" s="5"/>
      <c r="AA40" s="5"/>
      <c r="AB40" s="5"/>
    </row>
    <row r="41" spans="1:28" s="1" customFormat="1" x14ac:dyDescent="0.25">
      <c r="A41" s="58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</row>
    <row r="42" spans="1:28" s="1" customFormat="1" x14ac:dyDescent="0.25">
      <c r="A42" s="58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</row>
    <row r="43" spans="1:28" s="1" customFormat="1" x14ac:dyDescent="0.25">
      <c r="A43" s="58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</row>
    <row r="44" spans="1:28" s="1" customFormat="1" x14ac:dyDescent="0.25">
      <c r="A44" s="58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</row>
    <row r="45" spans="1:28" s="1" customFormat="1" x14ac:dyDescent="0.25">
      <c r="A45" s="58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</row>
    <row r="46" spans="1:28" s="1" customFormat="1" x14ac:dyDescent="0.25">
      <c r="A46" s="58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</row>
    <row r="47" spans="1:28" s="1" customFormat="1" x14ac:dyDescent="0.25">
      <c r="A47" s="58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</row>
    <row r="48" spans="1:28" s="1" customFormat="1" x14ac:dyDescent="0.25">
      <c r="A48" s="58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</row>
    <row r="49" spans="1:28" s="1" customFormat="1" x14ac:dyDescent="0.25">
      <c r="A49" s="58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</row>
    <row r="50" spans="1:28" s="1" customFormat="1" x14ac:dyDescent="0.25">
      <c r="A50" s="58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</row>
    <row r="51" spans="1:28" s="1" customFormat="1" x14ac:dyDescent="0.25">
      <c r="A51" s="58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</row>
    <row r="52" spans="1:28" s="1" customFormat="1" x14ac:dyDescent="0.25">
      <c r="A52" s="58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</row>
    <row r="53" spans="1:28" s="1" customFormat="1" x14ac:dyDescent="0.25">
      <c r="A53" s="58"/>
    </row>
    <row r="54" spans="1:28" s="1" customFormat="1" x14ac:dyDescent="0.25">
      <c r="A54" s="58"/>
    </row>
    <row r="55" spans="1:28" s="1" customFormat="1" x14ac:dyDescent="0.25">
      <c r="A55" s="58"/>
    </row>
    <row r="56" spans="1:28" s="1" customFormat="1" x14ac:dyDescent="0.25">
      <c r="A56" s="58"/>
    </row>
    <row r="57" spans="1:28" s="1" customFormat="1" x14ac:dyDescent="0.25">
      <c r="A57" s="58"/>
    </row>
    <row r="58" spans="1:28" s="1" customFormat="1" x14ac:dyDescent="0.25">
      <c r="A58" s="58"/>
    </row>
    <row r="59" spans="1:28" s="1" customFormat="1" x14ac:dyDescent="0.25">
      <c r="A59" s="58"/>
    </row>
    <row r="60" spans="1:28" s="1" customFormat="1" x14ac:dyDescent="0.25">
      <c r="A60" s="58"/>
    </row>
  </sheetData>
  <mergeCells count="7">
    <mergeCell ref="AB2:AB3"/>
    <mergeCell ref="B2:B3"/>
    <mergeCell ref="C2:C3"/>
    <mergeCell ref="D2:E2"/>
    <mergeCell ref="F2:F3"/>
    <mergeCell ref="G2:G3"/>
    <mergeCell ref="H2:AA2"/>
  </mergeCells>
  <phoneticPr fontId="8" type="noConversion"/>
  <dataValidations count="1">
    <dataValidation type="list" allowBlank="1" showInputMessage="1" showErrorMessage="1" sqref="F1">
      <formula1>"'true,'false"</formula1>
    </dataValidation>
  </dataValidations>
  <pageMargins left="0.75" right="0.75" top="1" bottom="1" header="0.51180555555555596" footer="0.51180555555555596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Pict="0" macro="[0]!生成公共用例_Click">
                <anchor moveWithCells="1" sizeWithCells="1">
                  <from>
                    <xdr:col>0</xdr:col>
                    <xdr:colOff>19050</xdr:colOff>
                    <xdr:row>0</xdr:row>
                    <xdr:rowOff>88900</xdr:rowOff>
                  </from>
                  <to>
                    <xdr:col>1</xdr:col>
                    <xdr:colOff>0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showErrorMessage="1">
          <x14:formula1>
            <xm:f>Actions!$D:$D</xm:f>
          </x14:formula1>
          <xm:sqref>E1:E1048576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35"/>
  <sheetViews>
    <sheetView zoomScale="90" zoomScaleNormal="90" workbookViewId="0">
      <selection activeCell="H7" sqref="H7"/>
    </sheetView>
  </sheetViews>
  <sheetFormatPr defaultColWidth="9" defaultRowHeight="14" x14ac:dyDescent="0.25"/>
  <cols>
    <col min="2" max="2" width="18.6328125" customWidth="1"/>
    <col min="3" max="3" width="21.36328125" customWidth="1"/>
    <col min="4" max="4" width="17.7265625" customWidth="1"/>
    <col min="5" max="5" width="18.26953125" customWidth="1"/>
    <col min="6" max="6" width="23.90625" customWidth="1"/>
    <col min="7" max="7" width="14" customWidth="1"/>
    <col min="8" max="8" width="19.453125" customWidth="1"/>
    <col min="9" max="9" width="18.90625" customWidth="1"/>
    <col min="10" max="10" width="19.08984375" customWidth="1"/>
  </cols>
  <sheetData>
    <row r="1" spans="1:18" s="1" customFormat="1" ht="30" customHeight="1" x14ac:dyDescent="0.25">
      <c r="A1" s="2"/>
      <c r="B1" s="3"/>
      <c r="C1" s="8">
        <f>COUNTA($E$4:$E$4958)+3+COUNTIF($A$4:$A$4960,"CommonCase")</f>
        <v>7</v>
      </c>
      <c r="E1" s="16" t="s">
        <v>48</v>
      </c>
      <c r="F1" s="17" t="s">
        <v>110</v>
      </c>
      <c r="G1" s="63" t="s">
        <v>541</v>
      </c>
      <c r="H1" s="62" t="s">
        <v>529</v>
      </c>
      <c r="I1" s="62" t="s">
        <v>529</v>
      </c>
      <c r="J1" s="62" t="s">
        <v>529</v>
      </c>
    </row>
    <row r="2" spans="1:18" ht="16" customHeight="1" x14ac:dyDescent="0.25">
      <c r="A2" s="107" t="s">
        <v>114</v>
      </c>
      <c r="B2" s="107" t="s">
        <v>115</v>
      </c>
      <c r="C2" s="107" t="s">
        <v>116</v>
      </c>
      <c r="D2" s="107" t="s">
        <v>36</v>
      </c>
      <c r="E2" s="107"/>
      <c r="F2" s="105" t="s">
        <v>117</v>
      </c>
      <c r="G2" s="105" t="s">
        <v>33</v>
      </c>
      <c r="H2" s="106" t="s">
        <v>37</v>
      </c>
      <c r="I2" s="106"/>
      <c r="J2" s="106"/>
      <c r="K2" s="106"/>
      <c r="L2" s="106"/>
      <c r="M2" s="106"/>
      <c r="N2" s="106"/>
      <c r="O2" s="106"/>
      <c r="P2" s="106"/>
      <c r="Q2" s="106"/>
      <c r="R2" s="103" t="s">
        <v>31</v>
      </c>
    </row>
    <row r="3" spans="1:18" ht="28" x14ac:dyDescent="0.25">
      <c r="A3" s="107"/>
      <c r="B3" s="107"/>
      <c r="C3" s="107"/>
      <c r="D3" s="87" t="s">
        <v>118</v>
      </c>
      <c r="E3" s="87" t="s">
        <v>119</v>
      </c>
      <c r="F3" s="105"/>
      <c r="G3" s="105"/>
      <c r="H3" s="86" t="s">
        <v>38</v>
      </c>
      <c r="I3" s="86" t="s">
        <v>39</v>
      </c>
      <c r="J3" s="86" t="s">
        <v>40</v>
      </c>
      <c r="K3" s="86" t="s">
        <v>41</v>
      </c>
      <c r="L3" s="86" t="s">
        <v>42</v>
      </c>
      <c r="M3" s="86" t="s">
        <v>43</v>
      </c>
      <c r="N3" s="86" t="s">
        <v>44</v>
      </c>
      <c r="O3" s="86" t="s">
        <v>45</v>
      </c>
      <c r="P3" s="86" t="s">
        <v>46</v>
      </c>
      <c r="Q3" s="86" t="s">
        <v>47</v>
      </c>
      <c r="R3" s="103"/>
    </row>
    <row r="4" spans="1:18" s="1" customFormat="1" x14ac:dyDescent="0.25">
      <c r="A4" s="27">
        <v>1</v>
      </c>
      <c r="B4" s="42" t="s">
        <v>544</v>
      </c>
      <c r="C4" s="42" t="s">
        <v>545</v>
      </c>
      <c r="D4" s="42" t="s">
        <v>546</v>
      </c>
      <c r="E4" s="42" t="s">
        <v>15</v>
      </c>
      <c r="F4" s="5"/>
      <c r="G4" s="5"/>
      <c r="H4" s="43" t="s">
        <v>559</v>
      </c>
      <c r="I4" s="43"/>
      <c r="J4" s="43"/>
      <c r="K4" s="43"/>
      <c r="L4" s="5"/>
      <c r="M4" s="5"/>
      <c r="N4" s="5"/>
      <c r="O4" s="5"/>
      <c r="P4" s="5"/>
      <c r="Q4" s="5"/>
      <c r="R4" s="5"/>
    </row>
    <row r="5" spans="1:18" s="1" customFormat="1" x14ac:dyDescent="0.25">
      <c r="A5" s="27"/>
      <c r="B5" s="42"/>
      <c r="C5" s="42"/>
      <c r="D5" s="42" t="s">
        <v>548</v>
      </c>
      <c r="E5" s="42" t="s">
        <v>67</v>
      </c>
      <c r="F5" s="42" t="s">
        <v>549</v>
      </c>
      <c r="G5" s="42" t="s">
        <v>550</v>
      </c>
      <c r="H5" s="42" t="s">
        <v>560</v>
      </c>
      <c r="I5" s="42"/>
      <c r="J5" s="42"/>
      <c r="K5" s="5"/>
      <c r="L5" s="5"/>
      <c r="M5" s="5"/>
      <c r="N5" s="5"/>
      <c r="O5" s="5"/>
      <c r="P5" s="5"/>
      <c r="Q5" s="5"/>
      <c r="R5" s="5"/>
    </row>
    <row r="6" spans="1:18" s="1" customFormat="1" ht="14.25" customHeight="1" x14ac:dyDescent="0.25">
      <c r="A6" s="27"/>
      <c r="B6" s="5"/>
      <c r="C6" s="5"/>
      <c r="D6" s="42" t="s">
        <v>555</v>
      </c>
      <c r="E6" s="42" t="s">
        <v>67</v>
      </c>
      <c r="F6" s="42" t="s">
        <v>549</v>
      </c>
      <c r="G6" s="42" t="s">
        <v>552</v>
      </c>
      <c r="H6" s="42" t="s">
        <v>561</v>
      </c>
      <c r="I6" s="42"/>
      <c r="J6" s="42"/>
      <c r="K6" s="5"/>
      <c r="L6" s="5"/>
      <c r="M6" s="5"/>
      <c r="N6" s="5"/>
      <c r="O6" s="5"/>
      <c r="P6" s="5"/>
      <c r="Q6" s="5"/>
      <c r="R6" s="5"/>
    </row>
    <row r="7" spans="1:18" s="1" customFormat="1" x14ac:dyDescent="0.25">
      <c r="A7" s="27"/>
      <c r="B7" s="5"/>
      <c r="C7" s="5"/>
      <c r="D7" s="42" t="s">
        <v>556</v>
      </c>
      <c r="E7" s="42" t="s">
        <v>73</v>
      </c>
      <c r="F7" s="42" t="s">
        <v>549</v>
      </c>
      <c r="G7" s="42" t="s">
        <v>554</v>
      </c>
      <c r="H7" s="5"/>
      <c r="I7" s="5"/>
      <c r="J7" s="5"/>
      <c r="K7" s="5"/>
      <c r="L7" s="5"/>
      <c r="M7" s="5"/>
      <c r="N7" s="5"/>
      <c r="O7" s="5"/>
      <c r="P7" s="5"/>
      <c r="Q7" s="5"/>
      <c r="R7" s="5"/>
    </row>
    <row r="8" spans="1:18" s="30" customFormat="1" x14ac:dyDescent="0.25">
      <c r="A8" s="27"/>
      <c r="B8" s="42"/>
      <c r="C8" s="42"/>
      <c r="D8" s="42"/>
      <c r="E8" s="42"/>
      <c r="F8" s="5"/>
      <c r="G8" s="5"/>
      <c r="H8" s="66"/>
      <c r="I8" s="29"/>
      <c r="J8" s="29"/>
      <c r="K8" s="29"/>
      <c r="L8" s="29"/>
      <c r="M8" s="29"/>
      <c r="N8" s="29"/>
      <c r="O8" s="29"/>
      <c r="P8" s="29"/>
      <c r="Q8" s="29"/>
      <c r="R8" s="29"/>
    </row>
    <row r="9" spans="1:18" s="1" customFormat="1" x14ac:dyDescent="0.25">
      <c r="A9" s="27"/>
      <c r="B9" s="5"/>
      <c r="C9" s="42"/>
      <c r="D9" s="42"/>
      <c r="E9" s="42"/>
      <c r="F9" s="42"/>
      <c r="G9" s="42"/>
      <c r="H9" s="42"/>
      <c r="I9" s="5"/>
      <c r="J9" s="5"/>
      <c r="K9" s="5"/>
      <c r="L9" s="5"/>
      <c r="M9" s="5"/>
      <c r="N9" s="5"/>
      <c r="O9" s="5"/>
      <c r="P9" s="5"/>
      <c r="Q9" s="5"/>
      <c r="R9" s="5"/>
    </row>
    <row r="10" spans="1:18" s="1" customFormat="1" x14ac:dyDescent="0.25">
      <c r="A10" s="27"/>
      <c r="B10" s="5"/>
      <c r="C10" s="5"/>
      <c r="D10" s="42"/>
      <c r="E10" s="42"/>
      <c r="F10" s="42"/>
      <c r="G10" s="42"/>
      <c r="H10" s="66"/>
      <c r="I10" s="5"/>
      <c r="J10" s="5"/>
      <c r="K10" s="5"/>
      <c r="L10" s="5"/>
      <c r="M10" s="5"/>
      <c r="N10" s="5"/>
      <c r="O10" s="5"/>
      <c r="P10" s="5"/>
      <c r="Q10" s="5"/>
      <c r="R10" s="5"/>
    </row>
    <row r="11" spans="1:18" s="1" customFormat="1" x14ac:dyDescent="0.25">
      <c r="A11" s="27"/>
      <c r="B11" s="5"/>
      <c r="C11" s="5"/>
      <c r="D11" s="42"/>
      <c r="E11" s="42"/>
      <c r="F11" s="42"/>
      <c r="G11" s="42"/>
      <c r="H11" s="42"/>
      <c r="I11" s="5"/>
      <c r="J11" s="5"/>
      <c r="K11" s="5"/>
      <c r="L11" s="5"/>
      <c r="M11" s="5"/>
      <c r="N11" s="5"/>
      <c r="O11" s="5"/>
      <c r="P11" s="5"/>
      <c r="Q11" s="5"/>
      <c r="R11" s="5"/>
    </row>
    <row r="12" spans="1:18" s="1" customFormat="1" x14ac:dyDescent="0.25">
      <c r="A12" s="27"/>
      <c r="B12" s="5"/>
      <c r="C12" s="5"/>
      <c r="D12" s="42"/>
      <c r="E12" s="42"/>
      <c r="F12" s="42"/>
      <c r="G12" s="42"/>
      <c r="H12" s="66"/>
      <c r="I12" s="5"/>
      <c r="J12" s="5"/>
      <c r="K12" s="5"/>
      <c r="L12" s="5"/>
      <c r="M12" s="5"/>
      <c r="N12" s="5"/>
      <c r="O12" s="5"/>
      <c r="P12" s="5"/>
      <c r="Q12" s="5"/>
      <c r="R12" s="5"/>
    </row>
    <row r="13" spans="1:18" s="1" customFormat="1" x14ac:dyDescent="0.25">
      <c r="A13" s="27"/>
      <c r="B13" s="5"/>
      <c r="C13" s="5"/>
      <c r="D13" s="42"/>
      <c r="E13" s="42"/>
      <c r="F13" s="42"/>
      <c r="G13" s="42"/>
      <c r="H13" s="66"/>
      <c r="I13" s="5"/>
      <c r="J13" s="5"/>
      <c r="K13" s="5"/>
      <c r="L13" s="5"/>
      <c r="M13" s="5"/>
      <c r="N13" s="5"/>
      <c r="O13" s="5"/>
      <c r="P13" s="5"/>
      <c r="Q13" s="5"/>
      <c r="R13" s="5"/>
    </row>
    <row r="14" spans="1:18" s="30" customFormat="1" x14ac:dyDescent="0.25">
      <c r="A14" s="27"/>
      <c r="B14" s="42"/>
      <c r="C14" s="42"/>
      <c r="D14" s="42"/>
      <c r="E14" s="42"/>
      <c r="F14" s="5"/>
      <c r="G14" s="5"/>
      <c r="H14" s="65"/>
      <c r="I14" s="29"/>
      <c r="J14" s="29"/>
      <c r="K14" s="29"/>
      <c r="L14" s="29"/>
      <c r="M14" s="29"/>
      <c r="N14" s="29"/>
      <c r="O14" s="29"/>
      <c r="P14" s="29"/>
      <c r="Q14" s="29"/>
      <c r="R14" s="29"/>
    </row>
    <row r="15" spans="1:18" s="1" customFormat="1" x14ac:dyDescent="0.25">
      <c r="A15" s="27"/>
      <c r="B15" s="5"/>
      <c r="C15" s="5"/>
      <c r="D15" s="42"/>
      <c r="E15" s="42"/>
      <c r="F15" s="5"/>
      <c r="G15" s="5"/>
      <c r="H15" s="42"/>
      <c r="I15" s="5"/>
      <c r="J15" s="5"/>
      <c r="K15" s="5"/>
      <c r="L15" s="5"/>
      <c r="M15" s="5"/>
      <c r="N15" s="5"/>
      <c r="O15" s="5"/>
      <c r="P15" s="5"/>
      <c r="Q15" s="5"/>
      <c r="R15" s="5"/>
    </row>
    <row r="16" spans="1:18" s="1" customFormat="1" x14ac:dyDescent="0.25">
      <c r="A16" s="27"/>
      <c r="B16" s="5"/>
      <c r="C16" s="5"/>
      <c r="D16" s="42"/>
      <c r="E16" s="5"/>
      <c r="F16" s="5"/>
      <c r="G16" s="42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</row>
    <row r="17" spans="1:18" s="1" customFormat="1" x14ac:dyDescent="0.25">
      <c r="A17" s="27"/>
      <c r="B17" s="5"/>
      <c r="C17" s="5"/>
      <c r="D17" s="5"/>
      <c r="E17" s="5"/>
      <c r="F17" s="5"/>
      <c r="G17" s="5"/>
      <c r="H17" s="31"/>
      <c r="I17" s="5"/>
      <c r="J17" s="5"/>
      <c r="K17" s="5"/>
      <c r="L17" s="5"/>
      <c r="M17" s="5"/>
      <c r="N17" s="5"/>
      <c r="O17" s="5"/>
      <c r="P17" s="5"/>
      <c r="Q17" s="5"/>
      <c r="R17" s="5"/>
    </row>
    <row r="18" spans="1:18" s="1" customFormat="1" x14ac:dyDescent="0.25">
      <c r="A18" s="27"/>
      <c r="B18" s="5"/>
      <c r="C18" s="5"/>
      <c r="D18" s="42"/>
      <c r="E18" s="5"/>
      <c r="F18" s="42"/>
      <c r="G18" s="42"/>
      <c r="H18" s="31"/>
      <c r="I18" s="5"/>
      <c r="J18" s="5"/>
      <c r="K18" s="5"/>
      <c r="L18" s="5"/>
      <c r="M18" s="5"/>
      <c r="N18" s="5"/>
      <c r="O18" s="5"/>
      <c r="P18" s="5"/>
      <c r="Q18" s="5"/>
      <c r="R18" s="5"/>
    </row>
    <row r="19" spans="1:18" s="1" customFormat="1" x14ac:dyDescent="0.25">
      <c r="A19" s="27"/>
      <c r="B19" s="5"/>
      <c r="C19" s="5"/>
      <c r="D19" s="42"/>
      <c r="E19" s="5"/>
      <c r="F19" s="5"/>
      <c r="G19" s="5"/>
      <c r="H19" s="31"/>
      <c r="I19" s="5"/>
      <c r="J19" s="5"/>
      <c r="K19" s="5"/>
      <c r="L19" s="5"/>
      <c r="M19" s="5"/>
      <c r="N19" s="5"/>
      <c r="O19" s="5"/>
      <c r="P19" s="5"/>
      <c r="Q19" s="5"/>
      <c r="R19" s="5"/>
    </row>
    <row r="20" spans="1:18" s="1" customFormat="1" x14ac:dyDescent="0.25">
      <c r="A20" s="27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</row>
    <row r="21" spans="1:18" s="1" customFormat="1" x14ac:dyDescent="0.25">
      <c r="A21" s="27"/>
      <c r="B21" s="5"/>
      <c r="C21" s="5"/>
      <c r="D21" s="42"/>
      <c r="E21" s="5"/>
      <c r="F21" s="42"/>
      <c r="G21" s="42"/>
      <c r="H21" s="31"/>
      <c r="I21" s="5"/>
      <c r="J21" s="5"/>
      <c r="K21" s="5"/>
      <c r="L21" s="5"/>
      <c r="M21" s="5"/>
      <c r="N21" s="5"/>
      <c r="O21" s="5"/>
      <c r="P21" s="5"/>
      <c r="Q21" s="5"/>
      <c r="R21" s="5"/>
    </row>
    <row r="22" spans="1:18" s="1" customFormat="1" x14ac:dyDescent="0.25">
      <c r="A22" s="27"/>
      <c r="B22" s="5"/>
      <c r="C22" s="5"/>
      <c r="D22" s="42"/>
      <c r="E22" s="42"/>
      <c r="F22" s="5"/>
      <c r="G22" s="5"/>
      <c r="H22" s="42"/>
      <c r="I22" s="5"/>
      <c r="J22" s="5"/>
      <c r="K22" s="5"/>
      <c r="L22" s="5"/>
      <c r="M22" s="5"/>
      <c r="N22" s="5"/>
      <c r="O22" s="5"/>
      <c r="P22" s="5"/>
      <c r="Q22" s="5"/>
      <c r="R22" s="5"/>
    </row>
    <row r="23" spans="1:18" s="1" customFormat="1" x14ac:dyDescent="0.25">
      <c r="A23" s="27"/>
      <c r="B23" s="5"/>
      <c r="C23" s="5"/>
      <c r="D23" s="42"/>
      <c r="E23" s="42"/>
      <c r="F23" s="5"/>
      <c r="G23" s="42"/>
      <c r="H23" s="42"/>
      <c r="I23" s="5"/>
      <c r="J23" s="5"/>
      <c r="K23" s="5"/>
      <c r="L23" s="5"/>
      <c r="M23" s="5"/>
      <c r="N23" s="5"/>
      <c r="O23" s="5"/>
      <c r="P23" s="5"/>
      <c r="Q23" s="5"/>
      <c r="R23" s="5"/>
    </row>
    <row r="24" spans="1:18" s="1" customFormat="1" x14ac:dyDescent="0.25">
      <c r="A24" s="27"/>
      <c r="B24" s="5"/>
      <c r="C24" s="5"/>
      <c r="D24" s="42"/>
      <c r="E24" s="42"/>
      <c r="F24" s="5"/>
      <c r="G24" s="42"/>
      <c r="H24" s="42"/>
      <c r="I24" s="5"/>
      <c r="J24" s="5"/>
      <c r="K24" s="5"/>
      <c r="L24" s="5"/>
      <c r="M24" s="5"/>
      <c r="N24" s="5"/>
      <c r="O24" s="5"/>
      <c r="P24" s="5"/>
      <c r="Q24" s="5"/>
      <c r="R24" s="5"/>
    </row>
    <row r="25" spans="1:18" s="1" customFormat="1" x14ac:dyDescent="0.25">
      <c r="A25" s="27"/>
      <c r="B25" s="42"/>
      <c r="C25" s="5"/>
      <c r="D25" s="42"/>
      <c r="E25" s="42"/>
      <c r="F25" s="5"/>
      <c r="G25" s="5"/>
      <c r="H25" s="43"/>
      <c r="I25" s="43"/>
      <c r="J25" s="43"/>
      <c r="K25" s="43"/>
      <c r="L25" s="5"/>
      <c r="M25" s="5"/>
      <c r="N25" s="5"/>
      <c r="O25" s="5"/>
      <c r="P25" s="5"/>
      <c r="Q25" s="5"/>
      <c r="R25" s="5"/>
    </row>
    <row r="26" spans="1:18" s="1" customFormat="1" x14ac:dyDescent="0.25">
      <c r="A26" s="27"/>
      <c r="B26" s="42"/>
      <c r="C26" s="42"/>
      <c r="D26" s="42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</row>
    <row r="27" spans="1:18" s="1" customFormat="1" ht="14.25" customHeight="1" x14ac:dyDescent="0.25">
      <c r="A27" s="27"/>
      <c r="B27" s="5"/>
      <c r="C27" s="5"/>
      <c r="D27" s="42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</row>
    <row r="28" spans="1:18" s="1" customFormat="1" x14ac:dyDescent="0.25">
      <c r="A28" s="27"/>
      <c r="B28" s="5"/>
      <c r="C28" s="5"/>
      <c r="D28" s="42"/>
      <c r="E28" s="42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</row>
    <row r="29" spans="1:18" s="30" customFormat="1" x14ac:dyDescent="0.25">
      <c r="A29" s="27"/>
      <c r="B29" s="42"/>
      <c r="C29" s="42"/>
      <c r="D29" s="42"/>
      <c r="E29" s="42"/>
      <c r="F29" s="42"/>
      <c r="G29" s="42"/>
      <c r="H29" s="66"/>
      <c r="I29" s="29"/>
      <c r="J29" s="29"/>
      <c r="K29" s="29"/>
      <c r="L29" s="29"/>
      <c r="M29" s="29"/>
      <c r="N29" s="29"/>
      <c r="O29" s="29"/>
      <c r="P29" s="29"/>
      <c r="Q29" s="29"/>
      <c r="R29" s="29"/>
    </row>
    <row r="30" spans="1:18" s="1" customFormat="1" x14ac:dyDescent="0.25">
      <c r="A30" s="27"/>
      <c r="B30" s="5"/>
      <c r="C30" s="5"/>
      <c r="D30" s="42"/>
      <c r="E30" s="42"/>
      <c r="F30" s="5"/>
      <c r="G30" s="5"/>
      <c r="H30" s="42"/>
      <c r="I30" s="5"/>
      <c r="J30" s="5"/>
      <c r="K30" s="5"/>
      <c r="L30" s="5"/>
      <c r="M30" s="5"/>
      <c r="N30" s="5"/>
      <c r="O30" s="5"/>
      <c r="P30" s="5"/>
      <c r="Q30" s="5"/>
      <c r="R30" s="5"/>
    </row>
    <row r="31" spans="1:18" s="1" customFormat="1" x14ac:dyDescent="0.25">
      <c r="A31" s="27"/>
      <c r="B31" s="5"/>
      <c r="C31" s="5"/>
      <c r="D31" s="42"/>
      <c r="E31" s="42"/>
      <c r="F31" s="42"/>
      <c r="G31" s="42"/>
      <c r="H31" s="66"/>
      <c r="I31" s="5"/>
      <c r="J31" s="5"/>
      <c r="K31" s="5"/>
      <c r="L31" s="5"/>
      <c r="M31" s="5"/>
      <c r="N31" s="5"/>
      <c r="O31" s="5"/>
      <c r="P31" s="5"/>
      <c r="Q31" s="5"/>
      <c r="R31" s="5"/>
    </row>
    <row r="32" spans="1:18" s="1" customFormat="1" x14ac:dyDescent="0.25">
      <c r="A32" s="27"/>
      <c r="B32" s="5"/>
      <c r="C32" s="5"/>
      <c r="D32" s="42"/>
      <c r="E32" s="42"/>
      <c r="F32" s="5"/>
      <c r="G32" s="5"/>
      <c r="H32" s="42"/>
      <c r="I32" s="5"/>
      <c r="J32" s="5"/>
      <c r="K32" s="5"/>
      <c r="L32" s="5"/>
      <c r="M32" s="5"/>
      <c r="N32" s="5"/>
      <c r="O32" s="5"/>
      <c r="P32" s="5"/>
      <c r="Q32" s="5"/>
      <c r="R32" s="5"/>
    </row>
    <row r="33" spans="1:18" s="1" customFormat="1" x14ac:dyDescent="0.25">
      <c r="A33" s="27"/>
      <c r="B33" s="5"/>
      <c r="C33" s="5"/>
      <c r="D33" s="42"/>
      <c r="E33" s="42"/>
      <c r="F33" s="42"/>
      <c r="G33" s="42"/>
      <c r="H33" s="66"/>
      <c r="I33" s="5"/>
      <c r="J33" s="5"/>
      <c r="K33" s="5"/>
      <c r="L33" s="5"/>
      <c r="M33" s="5"/>
      <c r="N33" s="5"/>
      <c r="O33" s="5"/>
      <c r="P33" s="5"/>
      <c r="Q33" s="5"/>
      <c r="R33" s="5"/>
    </row>
    <row r="34" spans="1:18" s="1" customFormat="1" x14ac:dyDescent="0.25">
      <c r="A34" s="27"/>
      <c r="B34" s="5"/>
      <c r="C34" s="5"/>
      <c r="D34" s="42"/>
      <c r="E34" s="42"/>
      <c r="F34" s="42"/>
      <c r="G34" s="42"/>
      <c r="H34" s="66"/>
      <c r="I34" s="5"/>
      <c r="J34" s="5"/>
      <c r="K34" s="5"/>
      <c r="L34" s="5"/>
      <c r="M34" s="5"/>
      <c r="N34" s="5"/>
      <c r="O34" s="5"/>
      <c r="P34" s="5"/>
      <c r="Q34" s="5"/>
      <c r="R34" s="5"/>
    </row>
    <row r="35" spans="1:18" s="30" customFormat="1" x14ac:dyDescent="0.25">
      <c r="A35" s="27"/>
      <c r="B35" s="42"/>
      <c r="C35" s="42"/>
      <c r="D35" s="42"/>
      <c r="E35" s="42"/>
      <c r="F35" s="5"/>
      <c r="G35" s="5"/>
      <c r="H35" s="65"/>
      <c r="I35" s="29"/>
      <c r="J35" s="29"/>
      <c r="K35" s="29"/>
      <c r="L35" s="29"/>
      <c r="M35" s="29"/>
      <c r="N35" s="29"/>
      <c r="O35" s="29"/>
      <c r="P35" s="29"/>
      <c r="Q35" s="29"/>
      <c r="R35" s="29"/>
    </row>
  </sheetData>
  <mergeCells count="8">
    <mergeCell ref="H2:Q2"/>
    <mergeCell ref="R2:R3"/>
    <mergeCell ref="A2:A3"/>
    <mergeCell ref="B2:B3"/>
    <mergeCell ref="C2:C3"/>
    <mergeCell ref="D2:E2"/>
    <mergeCell ref="F2:F3"/>
    <mergeCell ref="G2:G3"/>
  </mergeCells>
  <phoneticPr fontId="8" type="noConversion"/>
  <conditionalFormatting sqref="A1:A3 A5:A6 A14:A20 A22:A24 A36:A1048576">
    <cfRule type="cellIs" dxfId="100" priority="9" operator="equal">
      <formula>"CommonCase"</formula>
    </cfRule>
  </conditionalFormatting>
  <conditionalFormatting sqref="A4">
    <cfRule type="cellIs" dxfId="99" priority="8" operator="equal">
      <formula>"CommonCase"</formula>
    </cfRule>
  </conditionalFormatting>
  <conditionalFormatting sqref="A7">
    <cfRule type="cellIs" dxfId="98" priority="7" operator="equal">
      <formula>"CommonCase"</formula>
    </cfRule>
  </conditionalFormatting>
  <conditionalFormatting sqref="A21">
    <cfRule type="cellIs" dxfId="97" priority="6" operator="equal">
      <formula>"CommonCase"</formula>
    </cfRule>
  </conditionalFormatting>
  <conditionalFormatting sqref="A8:A13">
    <cfRule type="cellIs" dxfId="96" priority="5" operator="equal">
      <formula>"CommonCase"</formula>
    </cfRule>
  </conditionalFormatting>
  <conditionalFormatting sqref="A26:A27 A35">
    <cfRule type="cellIs" dxfId="95" priority="4" operator="equal">
      <formula>"CommonCase"</formula>
    </cfRule>
  </conditionalFormatting>
  <conditionalFormatting sqref="A25">
    <cfRule type="cellIs" dxfId="94" priority="3" operator="equal">
      <formula>"CommonCase"</formula>
    </cfRule>
  </conditionalFormatting>
  <conditionalFormatting sqref="A28">
    <cfRule type="cellIs" dxfId="93" priority="2" operator="equal">
      <formula>"CommonCase"</formula>
    </cfRule>
  </conditionalFormatting>
  <conditionalFormatting sqref="A29:A34">
    <cfRule type="cellIs" dxfId="92" priority="1" operator="equal">
      <formula>"CommonCase"</formula>
    </cfRule>
  </conditionalFormatting>
  <dataValidations count="4">
    <dataValidation type="list" errorStyle="information" allowBlank="1" showInputMessage="1" sqref="A4:A1048576">
      <formula1>"CommonCase"</formula1>
    </dataValidation>
    <dataValidation type="list" allowBlank="1" showInputMessage="1" showErrorMessage="1" sqref="H1:J1">
      <formula1>"无,IE11_32bit,IE11_64bit,IE9,Firefox_v61,Chrome_v59-61,Chrome_v60-62,Chrome_v61-63,Chrome_v62-64,Chrome_v63-65,Chrome_v66-68"</formula1>
    </dataValidation>
    <dataValidation errorStyle="information" allowBlank="1" showInputMessage="1" sqref="A1:A3"/>
    <dataValidation type="list" allowBlank="1" showInputMessage="1" showErrorMessage="1" sqref="F1">
      <formula1>"'true,'false"</formula1>
    </dataValidation>
  </dataValidations>
  <hyperlinks>
    <hyperlink ref="H4" r:id="rId1"/>
  </hyperlinks>
  <pageMargins left="0.75" right="0.75" top="1" bottom="1" header="0.51180555555555596" footer="0.51180555555555596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>
          <x14:formula1>
            <xm:f>Actions!$D:$D</xm:f>
          </x14:formula1>
          <xm:sqref>E1:E1048576</xm:sqref>
        </x14:dataValidation>
        <x14:dataValidation type="list" errorStyle="information" allowBlank="1" showInputMessage="1" showErrorMessage="1">
          <x14:formula1>
            <xm:f>Actions!$D:$D</xm:f>
          </x14:formula1>
          <xm:sqref>H7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507"/>
  <sheetViews>
    <sheetView workbookViewId="0">
      <selection sqref="A1:XFD1048576"/>
    </sheetView>
  </sheetViews>
  <sheetFormatPr defaultColWidth="9" defaultRowHeight="14" x14ac:dyDescent="0.25"/>
  <cols>
    <col min="2" max="2" width="18.6328125" customWidth="1"/>
    <col min="3" max="3" width="21.36328125" customWidth="1"/>
    <col min="4" max="4" width="17.7265625" customWidth="1"/>
    <col min="5" max="5" width="18.26953125" customWidth="1"/>
    <col min="6" max="6" width="23.90625" customWidth="1"/>
    <col min="7" max="7" width="17.90625" customWidth="1"/>
    <col min="8" max="8" width="36.6328125" customWidth="1"/>
    <col min="9" max="9" width="18.90625" customWidth="1"/>
    <col min="10" max="10" width="19.08984375" customWidth="1"/>
  </cols>
  <sheetData>
    <row r="1" spans="1:18" s="1" customFormat="1" ht="30" customHeight="1" x14ac:dyDescent="0.25">
      <c r="A1" s="2"/>
      <c r="B1" s="3"/>
      <c r="C1" s="8">
        <f>COUNTA($E$4:$E$5188)+3+COUNTIF($A$4:$A$5186,"CommonCase")</f>
        <v>287</v>
      </c>
      <c r="E1" s="16" t="s">
        <v>48</v>
      </c>
      <c r="F1" s="17" t="s">
        <v>110</v>
      </c>
      <c r="G1" s="63" t="s">
        <v>541</v>
      </c>
      <c r="H1" s="62" t="s">
        <v>529</v>
      </c>
      <c r="I1" s="62" t="s">
        <v>529</v>
      </c>
      <c r="J1" s="62" t="s">
        <v>529</v>
      </c>
    </row>
    <row r="2" spans="1:18" ht="16" customHeight="1" x14ac:dyDescent="0.25">
      <c r="A2" s="107" t="s">
        <v>114</v>
      </c>
      <c r="B2" s="107" t="s">
        <v>115</v>
      </c>
      <c r="C2" s="107" t="s">
        <v>116</v>
      </c>
      <c r="D2" s="107" t="s">
        <v>36</v>
      </c>
      <c r="E2" s="107"/>
      <c r="F2" s="105" t="s">
        <v>117</v>
      </c>
      <c r="G2" s="105" t="s">
        <v>33</v>
      </c>
      <c r="H2" s="106" t="s">
        <v>37</v>
      </c>
      <c r="I2" s="106"/>
      <c r="J2" s="106"/>
      <c r="K2" s="106"/>
      <c r="L2" s="106"/>
      <c r="M2" s="106"/>
      <c r="N2" s="106"/>
      <c r="O2" s="106"/>
      <c r="P2" s="106"/>
      <c r="Q2" s="106"/>
      <c r="R2" s="103" t="s">
        <v>31</v>
      </c>
    </row>
    <row r="3" spans="1:18" ht="28" x14ac:dyDescent="0.25">
      <c r="A3" s="107"/>
      <c r="B3" s="107"/>
      <c r="C3" s="107"/>
      <c r="D3" s="101" t="s">
        <v>118</v>
      </c>
      <c r="E3" s="101" t="s">
        <v>119</v>
      </c>
      <c r="F3" s="105"/>
      <c r="G3" s="105"/>
      <c r="H3" s="100" t="s">
        <v>38</v>
      </c>
      <c r="I3" s="100" t="s">
        <v>39</v>
      </c>
      <c r="J3" s="100" t="s">
        <v>40</v>
      </c>
      <c r="K3" s="100" t="s">
        <v>41</v>
      </c>
      <c r="L3" s="100" t="s">
        <v>42</v>
      </c>
      <c r="M3" s="100" t="s">
        <v>43</v>
      </c>
      <c r="N3" s="100" t="s">
        <v>44</v>
      </c>
      <c r="O3" s="100" t="s">
        <v>45</v>
      </c>
      <c r="P3" s="100" t="s">
        <v>46</v>
      </c>
      <c r="Q3" s="100" t="s">
        <v>47</v>
      </c>
      <c r="R3" s="103"/>
    </row>
    <row r="4" spans="1:18" s="1" customFormat="1" x14ac:dyDescent="0.25">
      <c r="A4" s="27">
        <v>1</v>
      </c>
      <c r="B4" s="42" t="s">
        <v>544</v>
      </c>
      <c r="C4" s="42" t="s">
        <v>545</v>
      </c>
      <c r="D4" s="42" t="s">
        <v>546</v>
      </c>
      <c r="E4" s="42" t="s">
        <v>15</v>
      </c>
      <c r="F4" s="5"/>
      <c r="G4" s="5"/>
      <c r="H4" s="43" t="s">
        <v>948</v>
      </c>
      <c r="I4" s="43"/>
      <c r="J4" s="43"/>
      <c r="K4" s="43"/>
      <c r="L4" s="5"/>
      <c r="M4" s="5"/>
      <c r="N4" s="5"/>
      <c r="O4" s="5"/>
      <c r="P4" s="5"/>
      <c r="Q4" s="5"/>
      <c r="R4" s="5"/>
    </row>
    <row r="5" spans="1:18" s="1" customFormat="1" x14ac:dyDescent="0.25">
      <c r="A5" s="27"/>
      <c r="B5" s="42"/>
      <c r="C5" s="42"/>
      <c r="D5" s="42" t="s">
        <v>548</v>
      </c>
      <c r="E5" s="42" t="s">
        <v>67</v>
      </c>
      <c r="F5" s="42" t="s">
        <v>549</v>
      </c>
      <c r="G5" s="42" t="s">
        <v>550</v>
      </c>
      <c r="H5" s="42" t="s">
        <v>655</v>
      </c>
      <c r="I5" s="42"/>
      <c r="J5" s="42"/>
      <c r="K5" s="5"/>
      <c r="L5" s="5"/>
      <c r="M5" s="5"/>
      <c r="N5" s="5"/>
      <c r="O5" s="5"/>
      <c r="P5" s="5"/>
      <c r="Q5" s="5"/>
      <c r="R5" s="5"/>
    </row>
    <row r="6" spans="1:18" s="1" customFormat="1" ht="14.25" customHeight="1" x14ac:dyDescent="0.25">
      <c r="A6" s="27"/>
      <c r="B6" s="5"/>
      <c r="C6" s="5"/>
      <c r="D6" s="42" t="s">
        <v>555</v>
      </c>
      <c r="E6" s="42" t="s">
        <v>67</v>
      </c>
      <c r="F6" s="42" t="s">
        <v>549</v>
      </c>
      <c r="G6" s="42" t="s">
        <v>552</v>
      </c>
      <c r="H6" s="76" t="s">
        <v>951</v>
      </c>
      <c r="I6" s="42"/>
      <c r="J6" s="42"/>
      <c r="K6" s="5"/>
      <c r="L6" s="5"/>
      <c r="M6" s="5"/>
      <c r="N6" s="5"/>
      <c r="O6" s="5"/>
      <c r="P6" s="5"/>
      <c r="Q6" s="5"/>
      <c r="R6" s="5"/>
    </row>
    <row r="7" spans="1:18" s="1" customFormat="1" x14ac:dyDescent="0.25">
      <c r="A7" s="27"/>
      <c r="B7" s="5"/>
      <c r="C7" s="5"/>
      <c r="D7" s="42" t="s">
        <v>556</v>
      </c>
      <c r="E7" s="42" t="s">
        <v>73</v>
      </c>
      <c r="F7" s="42" t="s">
        <v>549</v>
      </c>
      <c r="G7" s="42" t="s">
        <v>554</v>
      </c>
      <c r="H7" s="5"/>
      <c r="I7" s="5"/>
      <c r="J7" s="5"/>
      <c r="K7" s="5"/>
      <c r="L7" s="5"/>
      <c r="M7" s="5"/>
      <c r="N7" s="5"/>
      <c r="O7" s="5"/>
      <c r="P7" s="5"/>
      <c r="Q7" s="5"/>
      <c r="R7" s="5"/>
    </row>
    <row r="8" spans="1:18" s="1" customFormat="1" x14ac:dyDescent="0.25">
      <c r="A8" s="27">
        <v>1</v>
      </c>
      <c r="B8" s="42" t="s">
        <v>595</v>
      </c>
      <c r="C8" s="42" t="s">
        <v>566</v>
      </c>
      <c r="D8" s="42" t="s">
        <v>562</v>
      </c>
      <c r="E8" s="42" t="s">
        <v>15</v>
      </c>
      <c r="F8" s="42" t="s">
        <v>564</v>
      </c>
      <c r="G8" s="42"/>
      <c r="H8" s="76" t="s">
        <v>949</v>
      </c>
      <c r="I8" s="5"/>
      <c r="J8" s="5"/>
      <c r="K8" s="5"/>
      <c r="L8" s="5"/>
      <c r="M8" s="5"/>
      <c r="N8" s="5"/>
      <c r="O8" s="5"/>
      <c r="P8" s="5"/>
      <c r="Q8" s="5"/>
      <c r="R8" s="5"/>
    </row>
    <row r="9" spans="1:18" s="1" customFormat="1" x14ac:dyDescent="0.25">
      <c r="A9" s="27"/>
      <c r="B9" s="5"/>
      <c r="C9" s="5"/>
      <c r="D9" s="42" t="s">
        <v>578</v>
      </c>
      <c r="E9" s="42" t="s">
        <v>568</v>
      </c>
      <c r="F9" s="42" t="s">
        <v>564</v>
      </c>
      <c r="G9" s="42" t="s">
        <v>577</v>
      </c>
      <c r="H9" s="5"/>
      <c r="I9" s="5"/>
      <c r="J9" s="5"/>
      <c r="K9" s="5"/>
      <c r="L9" s="5"/>
      <c r="M9" s="5"/>
      <c r="N9" s="5"/>
      <c r="O9" s="5"/>
      <c r="P9" s="5"/>
      <c r="Q9" s="5"/>
      <c r="R9" s="5"/>
    </row>
    <row r="10" spans="1:18" s="1" customFormat="1" ht="28" x14ac:dyDescent="0.25">
      <c r="A10" s="27"/>
      <c r="B10" s="5"/>
      <c r="C10" s="5"/>
      <c r="D10" s="42" t="s">
        <v>977</v>
      </c>
      <c r="E10" s="42" t="s">
        <v>528</v>
      </c>
      <c r="F10" s="42" t="s">
        <v>564</v>
      </c>
      <c r="G10" s="42" t="s">
        <v>579</v>
      </c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</row>
    <row r="11" spans="1:18" s="1" customFormat="1" x14ac:dyDescent="0.25">
      <c r="A11" s="27"/>
      <c r="B11" s="5"/>
      <c r="C11" s="5"/>
      <c r="D11" s="42" t="s">
        <v>580</v>
      </c>
      <c r="E11" s="42" t="s">
        <v>5</v>
      </c>
      <c r="F11" s="42" t="s">
        <v>564</v>
      </c>
      <c r="G11" s="42" t="s">
        <v>579</v>
      </c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</row>
    <row r="12" spans="1:18" s="1" customFormat="1" x14ac:dyDescent="0.25">
      <c r="A12" s="27"/>
      <c r="B12" s="5"/>
      <c r="C12" s="5"/>
      <c r="D12" s="42" t="s">
        <v>581</v>
      </c>
      <c r="E12" s="42" t="s">
        <v>4</v>
      </c>
      <c r="F12" s="42" t="s">
        <v>564</v>
      </c>
      <c r="G12" s="42" t="s">
        <v>582</v>
      </c>
      <c r="H12" s="42" t="s">
        <v>609</v>
      </c>
      <c r="I12" s="5"/>
      <c r="J12" s="5"/>
      <c r="K12" s="5"/>
      <c r="L12" s="5"/>
      <c r="M12" s="5"/>
      <c r="N12" s="5"/>
      <c r="O12" s="5"/>
      <c r="P12" s="5"/>
      <c r="Q12" s="5"/>
      <c r="R12" s="5"/>
    </row>
    <row r="13" spans="1:18" s="1" customFormat="1" x14ac:dyDescent="0.25">
      <c r="A13" s="27"/>
      <c r="B13" s="5"/>
      <c r="C13" s="5"/>
      <c r="D13" s="42" t="s">
        <v>583</v>
      </c>
      <c r="E13" s="42" t="s">
        <v>212</v>
      </c>
      <c r="F13" s="42" t="s">
        <v>564</v>
      </c>
      <c r="G13" s="42" t="s">
        <v>582</v>
      </c>
      <c r="H13" s="42" t="s">
        <v>213</v>
      </c>
      <c r="I13" s="5"/>
      <c r="J13" s="5"/>
      <c r="K13" s="5"/>
      <c r="L13" s="5"/>
      <c r="M13" s="5"/>
      <c r="N13" s="5"/>
      <c r="O13" s="5"/>
      <c r="P13" s="5"/>
      <c r="Q13" s="5"/>
      <c r="R13" s="5"/>
    </row>
    <row r="14" spans="1:18" s="1" customFormat="1" x14ac:dyDescent="0.25">
      <c r="A14" s="27"/>
      <c r="B14" s="5"/>
      <c r="C14" s="5"/>
      <c r="D14" s="42" t="s">
        <v>610</v>
      </c>
      <c r="E14" s="42" t="s">
        <v>5</v>
      </c>
      <c r="F14" s="42" t="s">
        <v>564</v>
      </c>
      <c r="G14" s="42" t="s">
        <v>585</v>
      </c>
      <c r="H14" s="42"/>
      <c r="I14" s="5"/>
      <c r="J14" s="5"/>
      <c r="K14" s="5"/>
      <c r="L14" s="5"/>
      <c r="M14" s="5"/>
      <c r="N14" s="5"/>
      <c r="O14" s="5"/>
      <c r="P14" s="5"/>
      <c r="Q14" s="5"/>
      <c r="R14" s="5"/>
    </row>
    <row r="15" spans="1:18" s="1" customFormat="1" x14ac:dyDescent="0.25">
      <c r="A15" s="27"/>
      <c r="B15" s="5"/>
      <c r="C15" s="5"/>
      <c r="D15" s="42" t="s">
        <v>563</v>
      </c>
      <c r="E15" s="42" t="s">
        <v>5</v>
      </c>
      <c r="F15" s="42" t="s">
        <v>564</v>
      </c>
      <c r="G15" s="42" t="s">
        <v>586</v>
      </c>
      <c r="I15" s="5"/>
      <c r="J15" s="5"/>
      <c r="K15" s="5"/>
      <c r="L15" s="5"/>
      <c r="M15" s="5"/>
      <c r="N15" s="5"/>
      <c r="O15" s="5"/>
      <c r="P15" s="5"/>
      <c r="Q15" s="5"/>
      <c r="R15" s="5"/>
    </row>
    <row r="16" spans="1:18" s="1" customFormat="1" x14ac:dyDescent="0.25">
      <c r="A16" s="27"/>
      <c r="B16" s="5"/>
      <c r="C16" s="5"/>
      <c r="D16" s="42" t="s">
        <v>613</v>
      </c>
      <c r="E16" s="42" t="s">
        <v>211</v>
      </c>
      <c r="F16" s="42" t="s">
        <v>564</v>
      </c>
      <c r="G16" s="42" t="s">
        <v>611</v>
      </c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</row>
    <row r="17" spans="1:18" s="1" customFormat="1" x14ac:dyDescent="0.25">
      <c r="A17" s="27"/>
      <c r="B17" s="5"/>
      <c r="C17" s="5"/>
      <c r="D17" s="42" t="s">
        <v>614</v>
      </c>
      <c r="E17" s="42" t="s">
        <v>5</v>
      </c>
      <c r="F17" s="42" t="s">
        <v>564</v>
      </c>
      <c r="G17" s="42" t="s">
        <v>612</v>
      </c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</row>
    <row r="18" spans="1:18" s="1" customFormat="1" x14ac:dyDescent="0.25">
      <c r="A18" s="27"/>
      <c r="B18" s="5"/>
      <c r="C18" s="5"/>
      <c r="D18" s="42" t="s">
        <v>620</v>
      </c>
      <c r="E18" s="42" t="s">
        <v>5</v>
      </c>
      <c r="F18" s="42" t="s">
        <v>821</v>
      </c>
      <c r="G18" s="42" t="s">
        <v>615</v>
      </c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</row>
    <row r="19" spans="1:18" s="1" customFormat="1" ht="28" x14ac:dyDescent="0.25">
      <c r="A19" s="27"/>
      <c r="B19" s="5"/>
      <c r="C19" s="5"/>
      <c r="D19" s="42" t="s">
        <v>621</v>
      </c>
      <c r="E19" s="42" t="s">
        <v>4</v>
      </c>
      <c r="F19" s="42" t="s">
        <v>821</v>
      </c>
      <c r="G19" s="42" t="s">
        <v>616</v>
      </c>
      <c r="H19" s="42" t="s">
        <v>978</v>
      </c>
      <c r="I19" s="5"/>
      <c r="J19" s="5"/>
      <c r="K19" s="5"/>
      <c r="L19" s="5"/>
      <c r="M19" s="5"/>
      <c r="N19" s="5"/>
      <c r="O19" s="5"/>
      <c r="P19" s="5"/>
      <c r="Q19" s="5"/>
      <c r="R19" s="5"/>
    </row>
    <row r="20" spans="1:18" s="1" customFormat="1" ht="28" x14ac:dyDescent="0.25">
      <c r="A20" s="27"/>
      <c r="B20" s="5"/>
      <c r="C20" s="5"/>
      <c r="D20" s="42" t="s">
        <v>701</v>
      </c>
      <c r="E20" s="42" t="s">
        <v>465</v>
      </c>
      <c r="F20" s="42" t="s">
        <v>821</v>
      </c>
      <c r="G20" s="42" t="s">
        <v>616</v>
      </c>
      <c r="H20" s="42" t="s">
        <v>700</v>
      </c>
      <c r="I20" s="5"/>
      <c r="J20" s="5"/>
      <c r="K20" s="5"/>
      <c r="L20" s="5"/>
      <c r="M20" s="5"/>
      <c r="N20" s="5"/>
      <c r="O20" s="5"/>
      <c r="P20" s="5"/>
      <c r="Q20" s="5"/>
      <c r="R20" s="5"/>
    </row>
    <row r="21" spans="1:18" s="1" customFormat="1" ht="28" x14ac:dyDescent="0.25">
      <c r="A21" s="27"/>
      <c r="B21" s="5"/>
      <c r="C21" s="5"/>
      <c r="D21" s="42" t="s">
        <v>622</v>
      </c>
      <c r="E21" s="42" t="s">
        <v>4</v>
      </c>
      <c r="F21" s="42" t="s">
        <v>821</v>
      </c>
      <c r="G21" s="42" t="s">
        <v>617</v>
      </c>
      <c r="H21" s="42" t="s">
        <v>609</v>
      </c>
      <c r="I21" s="5"/>
      <c r="J21" s="5"/>
      <c r="K21" s="5"/>
      <c r="L21" s="5"/>
      <c r="M21" s="5"/>
      <c r="N21" s="5"/>
      <c r="O21" s="5"/>
      <c r="P21" s="5"/>
      <c r="Q21" s="5"/>
      <c r="R21" s="5"/>
    </row>
    <row r="22" spans="1:18" s="1" customFormat="1" x14ac:dyDescent="0.25">
      <c r="A22" s="27"/>
      <c r="B22" s="5"/>
      <c r="C22" s="5"/>
      <c r="D22" s="42" t="s">
        <v>648</v>
      </c>
      <c r="E22" s="42" t="s">
        <v>5</v>
      </c>
      <c r="F22" s="42" t="s">
        <v>821</v>
      </c>
      <c r="G22" s="42" t="s">
        <v>652</v>
      </c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</row>
    <row r="23" spans="1:18" s="1" customFormat="1" ht="28" x14ac:dyDescent="0.25">
      <c r="A23" s="27"/>
      <c r="B23" s="5"/>
      <c r="C23" s="5"/>
      <c r="D23" s="42" t="s">
        <v>623</v>
      </c>
      <c r="E23" s="42" t="s">
        <v>5</v>
      </c>
      <c r="F23" s="42" t="s">
        <v>821</v>
      </c>
      <c r="G23" s="42" t="s">
        <v>618</v>
      </c>
      <c r="H23" s="42"/>
      <c r="I23" s="5"/>
      <c r="J23" s="5"/>
      <c r="K23" s="5"/>
      <c r="L23" s="5"/>
      <c r="M23" s="5"/>
      <c r="N23" s="5"/>
      <c r="O23" s="5"/>
      <c r="P23" s="5"/>
      <c r="Q23" s="5"/>
      <c r="R23" s="5"/>
    </row>
    <row r="24" spans="1:18" s="1" customFormat="1" ht="28" x14ac:dyDescent="0.25">
      <c r="A24" s="27"/>
      <c r="B24" s="5"/>
      <c r="C24" s="5"/>
      <c r="D24" s="42" t="s">
        <v>674</v>
      </c>
      <c r="E24" s="42" t="s">
        <v>211</v>
      </c>
      <c r="F24" s="42" t="s">
        <v>821</v>
      </c>
      <c r="G24" s="42" t="s">
        <v>674</v>
      </c>
      <c r="H24" s="42"/>
      <c r="I24" s="5"/>
      <c r="J24" s="5"/>
      <c r="K24" s="5"/>
      <c r="L24" s="5"/>
      <c r="M24" s="5"/>
      <c r="N24" s="5"/>
      <c r="O24" s="5"/>
      <c r="P24" s="5"/>
      <c r="Q24" s="5"/>
      <c r="R24" s="5"/>
    </row>
    <row r="25" spans="1:18" s="1" customFormat="1" ht="28" x14ac:dyDescent="0.25">
      <c r="A25" s="27"/>
      <c r="B25" s="5"/>
      <c r="C25" s="5"/>
      <c r="D25" s="42" t="s">
        <v>675</v>
      </c>
      <c r="E25" s="42" t="s">
        <v>211</v>
      </c>
      <c r="F25" s="42" t="s">
        <v>821</v>
      </c>
      <c r="G25" s="42" t="s">
        <v>675</v>
      </c>
      <c r="H25" s="42"/>
      <c r="I25" s="5"/>
      <c r="J25" s="5"/>
      <c r="K25" s="5"/>
      <c r="L25" s="5"/>
      <c r="M25" s="5"/>
      <c r="N25" s="5"/>
      <c r="O25" s="5"/>
      <c r="P25" s="5"/>
      <c r="Q25" s="5"/>
      <c r="R25" s="5"/>
    </row>
    <row r="26" spans="1:18" s="1" customFormat="1" ht="28" x14ac:dyDescent="0.25">
      <c r="A26" s="27"/>
      <c r="B26" s="5"/>
      <c r="C26" s="5"/>
      <c r="D26" s="42" t="s">
        <v>676</v>
      </c>
      <c r="E26" s="42" t="s">
        <v>5</v>
      </c>
      <c r="F26" s="42" t="s">
        <v>821</v>
      </c>
      <c r="G26" s="42" t="s">
        <v>676</v>
      </c>
      <c r="H26" s="42"/>
      <c r="I26" s="5"/>
      <c r="J26" s="5"/>
      <c r="K26" s="5"/>
      <c r="L26" s="5"/>
      <c r="M26" s="5"/>
      <c r="N26" s="5"/>
      <c r="O26" s="5"/>
      <c r="P26" s="5"/>
      <c r="Q26" s="5"/>
      <c r="R26" s="5"/>
    </row>
    <row r="27" spans="1:18" s="1" customFormat="1" ht="28" x14ac:dyDescent="0.25">
      <c r="A27" s="27"/>
      <c r="B27" s="5"/>
      <c r="C27" s="5"/>
      <c r="D27" s="42" t="s">
        <v>641</v>
      </c>
      <c r="E27" s="42" t="s">
        <v>4</v>
      </c>
      <c r="F27" s="42" t="s">
        <v>821</v>
      </c>
      <c r="G27" s="42" t="s">
        <v>625</v>
      </c>
      <c r="H27" s="42" t="s">
        <v>653</v>
      </c>
      <c r="I27" s="5"/>
      <c r="J27" s="5"/>
      <c r="K27" s="5"/>
      <c r="L27" s="5"/>
      <c r="M27" s="5"/>
      <c r="N27" s="5"/>
      <c r="O27" s="5"/>
      <c r="P27" s="5"/>
      <c r="Q27" s="5"/>
      <c r="R27" s="5"/>
    </row>
    <row r="28" spans="1:18" s="1" customFormat="1" ht="28" x14ac:dyDescent="0.25">
      <c r="A28" s="27"/>
      <c r="B28" s="5"/>
      <c r="C28" s="5"/>
      <c r="D28" s="42" t="s">
        <v>642</v>
      </c>
      <c r="E28" s="42" t="s">
        <v>4</v>
      </c>
      <c r="F28" s="42" t="s">
        <v>821</v>
      </c>
      <c r="G28" s="42" t="s">
        <v>626</v>
      </c>
      <c r="H28" s="42" t="s">
        <v>653</v>
      </c>
      <c r="I28" s="5"/>
      <c r="J28" s="5"/>
      <c r="K28" s="5"/>
      <c r="L28" s="5"/>
      <c r="M28" s="5"/>
      <c r="N28" s="5"/>
      <c r="O28" s="5"/>
      <c r="P28" s="5"/>
      <c r="Q28" s="5"/>
      <c r="R28" s="5"/>
    </row>
    <row r="29" spans="1:18" s="1" customFormat="1" ht="28" x14ac:dyDescent="0.25">
      <c r="A29" s="27"/>
      <c r="B29" s="5"/>
      <c r="C29" s="5"/>
      <c r="D29" s="42" t="s">
        <v>643</v>
      </c>
      <c r="E29" s="42" t="s">
        <v>4</v>
      </c>
      <c r="F29" s="42" t="s">
        <v>821</v>
      </c>
      <c r="G29" s="42" t="s">
        <v>627</v>
      </c>
      <c r="H29" s="42" t="s">
        <v>654</v>
      </c>
      <c r="I29" s="5"/>
      <c r="J29" s="5"/>
      <c r="K29" s="5"/>
      <c r="L29" s="5"/>
      <c r="M29" s="5"/>
      <c r="N29" s="5"/>
      <c r="O29" s="5"/>
      <c r="P29" s="5"/>
      <c r="Q29" s="5"/>
      <c r="R29" s="5"/>
    </row>
    <row r="30" spans="1:18" s="1" customFormat="1" x14ac:dyDescent="0.25">
      <c r="A30" s="27"/>
      <c r="B30" s="5"/>
      <c r="C30" s="5"/>
      <c r="D30" s="42" t="s">
        <v>649</v>
      </c>
      <c r="E30" s="42" t="s">
        <v>5</v>
      </c>
      <c r="F30" s="42" t="s">
        <v>821</v>
      </c>
      <c r="G30" s="42" t="s">
        <v>652</v>
      </c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</row>
    <row r="31" spans="1:18" s="1" customFormat="1" ht="28" x14ac:dyDescent="0.25">
      <c r="A31" s="27"/>
      <c r="B31" s="5"/>
      <c r="C31" s="5"/>
      <c r="D31" s="42" t="s">
        <v>644</v>
      </c>
      <c r="E31" s="42" t="s">
        <v>4</v>
      </c>
      <c r="F31" s="42" t="s">
        <v>821</v>
      </c>
      <c r="G31" s="42" t="s">
        <v>628</v>
      </c>
      <c r="H31" s="42" t="s">
        <v>654</v>
      </c>
      <c r="I31" s="5"/>
      <c r="J31" s="5"/>
      <c r="K31" s="5"/>
      <c r="L31" s="5"/>
      <c r="M31" s="5"/>
      <c r="N31" s="5"/>
      <c r="O31" s="5"/>
      <c r="P31" s="5"/>
      <c r="Q31" s="5"/>
      <c r="R31" s="5"/>
    </row>
    <row r="32" spans="1:18" s="1" customFormat="1" x14ac:dyDescent="0.25">
      <c r="A32" s="27"/>
      <c r="B32" s="5"/>
      <c r="C32" s="5"/>
      <c r="D32" s="42" t="s">
        <v>650</v>
      </c>
      <c r="E32" s="42" t="s">
        <v>5</v>
      </c>
      <c r="F32" s="42" t="s">
        <v>821</v>
      </c>
      <c r="G32" s="42" t="s">
        <v>652</v>
      </c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</row>
    <row r="33" spans="1:18" s="1" customFormat="1" ht="28" x14ac:dyDescent="0.25">
      <c r="A33" s="27"/>
      <c r="B33" s="5"/>
      <c r="C33" s="5"/>
      <c r="D33" s="42" t="s">
        <v>637</v>
      </c>
      <c r="E33" s="42" t="s">
        <v>5</v>
      </c>
      <c r="F33" s="42" t="s">
        <v>821</v>
      </c>
      <c r="G33" s="42" t="s">
        <v>629</v>
      </c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</row>
    <row r="34" spans="1:18" s="1" customFormat="1" ht="28" x14ac:dyDescent="0.25">
      <c r="A34" s="27"/>
      <c r="B34" s="5"/>
      <c r="C34" s="5"/>
      <c r="D34" s="42" t="s">
        <v>638</v>
      </c>
      <c r="E34" s="42" t="s">
        <v>5</v>
      </c>
      <c r="F34" s="42" t="s">
        <v>821</v>
      </c>
      <c r="G34" s="42" t="s">
        <v>630</v>
      </c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</row>
    <row r="35" spans="1:18" s="1" customFormat="1" ht="28" x14ac:dyDescent="0.25">
      <c r="A35" s="27"/>
      <c r="B35" s="5"/>
      <c r="C35" s="5"/>
      <c r="D35" s="42" t="s">
        <v>645</v>
      </c>
      <c r="E35" s="42" t="s">
        <v>4</v>
      </c>
      <c r="F35" s="42" t="s">
        <v>821</v>
      </c>
      <c r="G35" s="42" t="s">
        <v>632</v>
      </c>
      <c r="H35" s="42" t="s">
        <v>653</v>
      </c>
      <c r="I35" s="5"/>
      <c r="J35" s="5"/>
      <c r="K35" s="5"/>
      <c r="L35" s="5"/>
      <c r="M35" s="5"/>
      <c r="N35" s="5"/>
      <c r="O35" s="5"/>
      <c r="P35" s="5"/>
      <c r="Q35" s="5"/>
      <c r="R35" s="5"/>
    </row>
    <row r="36" spans="1:18" s="1" customFormat="1" ht="28" x14ac:dyDescent="0.25">
      <c r="A36" s="27"/>
      <c r="B36" s="5"/>
      <c r="C36" s="5"/>
      <c r="D36" s="42" t="s">
        <v>646</v>
      </c>
      <c r="E36" s="42" t="s">
        <v>4</v>
      </c>
      <c r="F36" s="42" t="s">
        <v>821</v>
      </c>
      <c r="G36" s="42" t="s">
        <v>633</v>
      </c>
      <c r="H36" s="42" t="s">
        <v>609</v>
      </c>
      <c r="I36" s="5"/>
      <c r="J36" s="5"/>
      <c r="K36" s="5"/>
      <c r="L36" s="5"/>
      <c r="M36" s="5"/>
      <c r="N36" s="5"/>
      <c r="O36" s="5"/>
      <c r="P36" s="5"/>
      <c r="Q36" s="5"/>
      <c r="R36" s="5"/>
    </row>
    <row r="37" spans="1:18" s="1" customFormat="1" x14ac:dyDescent="0.25">
      <c r="A37" s="27"/>
      <c r="B37" s="5"/>
      <c r="C37" s="5"/>
      <c r="D37" s="42" t="s">
        <v>651</v>
      </c>
      <c r="E37" s="42" t="s">
        <v>5</v>
      </c>
      <c r="F37" s="42" t="s">
        <v>821</v>
      </c>
      <c r="G37" s="42" t="s">
        <v>652</v>
      </c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</row>
    <row r="38" spans="1:18" s="1" customFormat="1" ht="28" x14ac:dyDescent="0.25">
      <c r="A38" s="27"/>
      <c r="B38" s="5"/>
      <c r="C38" s="5"/>
      <c r="D38" s="42" t="s">
        <v>647</v>
      </c>
      <c r="E38" s="42" t="s">
        <v>4</v>
      </c>
      <c r="F38" s="42" t="s">
        <v>821</v>
      </c>
      <c r="G38" s="42" t="s">
        <v>634</v>
      </c>
      <c r="H38" s="42" t="s">
        <v>653</v>
      </c>
      <c r="I38" s="5"/>
      <c r="J38" s="5"/>
      <c r="K38" s="5"/>
      <c r="L38" s="5"/>
      <c r="M38" s="5"/>
      <c r="N38" s="5"/>
      <c r="O38" s="5"/>
      <c r="P38" s="5"/>
      <c r="Q38" s="5"/>
      <c r="R38" s="5"/>
    </row>
    <row r="39" spans="1:18" s="1" customFormat="1" ht="28" x14ac:dyDescent="0.25">
      <c r="A39" s="27"/>
      <c r="B39" s="5"/>
      <c r="C39" s="5"/>
      <c r="D39" s="42" t="s">
        <v>639</v>
      </c>
      <c r="E39" s="42" t="s">
        <v>5</v>
      </c>
      <c r="F39" s="42" t="s">
        <v>821</v>
      </c>
      <c r="G39" s="42" t="s">
        <v>635</v>
      </c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</row>
    <row r="40" spans="1:18" s="1" customFormat="1" ht="28" x14ac:dyDescent="0.25">
      <c r="A40" s="27"/>
      <c r="B40" s="5"/>
      <c r="C40" s="5"/>
      <c r="D40" s="42" t="s">
        <v>640</v>
      </c>
      <c r="E40" s="42" t="s">
        <v>5</v>
      </c>
      <c r="F40" s="42" t="s">
        <v>821</v>
      </c>
      <c r="G40" s="42" t="s">
        <v>636</v>
      </c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</row>
    <row r="41" spans="1:18" s="1" customFormat="1" ht="28" x14ac:dyDescent="0.25">
      <c r="A41" s="27"/>
      <c r="B41" s="5"/>
      <c r="C41" s="5"/>
      <c r="D41" s="42" t="s">
        <v>685</v>
      </c>
      <c r="E41" s="42" t="s">
        <v>4</v>
      </c>
      <c r="F41" s="42" t="s">
        <v>821</v>
      </c>
      <c r="G41" s="42" t="s">
        <v>689</v>
      </c>
      <c r="H41" s="42" t="s">
        <v>654</v>
      </c>
      <c r="I41" s="5"/>
      <c r="J41" s="5"/>
      <c r="K41" s="5"/>
      <c r="L41" s="5"/>
      <c r="M41" s="5"/>
      <c r="N41" s="5"/>
      <c r="O41" s="5"/>
      <c r="P41" s="5"/>
      <c r="Q41" s="5"/>
      <c r="R41" s="5"/>
    </row>
    <row r="42" spans="1:18" s="1" customFormat="1" x14ac:dyDescent="0.25">
      <c r="A42" s="27"/>
      <c r="B42" s="5"/>
      <c r="C42" s="5"/>
      <c r="D42" s="42" t="s">
        <v>960</v>
      </c>
      <c r="E42" s="42" t="s">
        <v>5</v>
      </c>
      <c r="F42" s="42" t="s">
        <v>821</v>
      </c>
      <c r="G42" s="42" t="s">
        <v>652</v>
      </c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</row>
    <row r="43" spans="1:18" s="1" customFormat="1" ht="28" x14ac:dyDescent="0.25">
      <c r="A43" s="27"/>
      <c r="B43" s="5"/>
      <c r="C43" s="5"/>
      <c r="D43" s="42" t="s">
        <v>686</v>
      </c>
      <c r="E43" s="42" t="s">
        <v>4</v>
      </c>
      <c r="F43" s="42" t="s">
        <v>821</v>
      </c>
      <c r="G43" s="42" t="s">
        <v>688</v>
      </c>
      <c r="H43" s="42" t="s">
        <v>694</v>
      </c>
      <c r="I43" s="5"/>
      <c r="J43" s="5"/>
      <c r="K43" s="5"/>
      <c r="L43" s="5"/>
      <c r="M43" s="5"/>
      <c r="N43" s="5"/>
      <c r="O43" s="5"/>
      <c r="P43" s="5"/>
      <c r="Q43" s="5"/>
      <c r="R43" s="5"/>
    </row>
    <row r="44" spans="1:18" s="1" customFormat="1" x14ac:dyDescent="0.25">
      <c r="A44" s="27"/>
      <c r="B44" s="5"/>
      <c r="C44" s="5"/>
      <c r="D44" s="42" t="s">
        <v>961</v>
      </c>
      <c r="E44" s="42" t="s">
        <v>5</v>
      </c>
      <c r="F44" s="42" t="s">
        <v>821</v>
      </c>
      <c r="G44" s="42" t="s">
        <v>652</v>
      </c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</row>
    <row r="45" spans="1:18" s="1" customFormat="1" x14ac:dyDescent="0.25">
      <c r="A45" s="27"/>
      <c r="B45" s="5"/>
      <c r="C45" s="5"/>
      <c r="D45" s="42" t="s">
        <v>687</v>
      </c>
      <c r="E45" s="42" t="s">
        <v>5</v>
      </c>
      <c r="F45" s="42" t="s">
        <v>821</v>
      </c>
      <c r="G45" s="42" t="s">
        <v>692</v>
      </c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</row>
    <row r="46" spans="1:18" s="1" customFormat="1" x14ac:dyDescent="0.25">
      <c r="A46" s="27"/>
      <c r="B46" s="5"/>
      <c r="C46" s="5"/>
      <c r="D46" s="42" t="s">
        <v>563</v>
      </c>
      <c r="E46" s="42" t="s">
        <v>73</v>
      </c>
      <c r="F46" s="42" t="s">
        <v>821</v>
      </c>
      <c r="G46" s="42" t="s">
        <v>954</v>
      </c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</row>
    <row r="47" spans="1:18" s="1" customFormat="1" ht="28" x14ac:dyDescent="0.25">
      <c r="A47" s="27"/>
      <c r="B47" s="5"/>
      <c r="C47" s="5"/>
      <c r="D47" s="42" t="s">
        <v>959</v>
      </c>
      <c r="E47" s="42" t="s">
        <v>344</v>
      </c>
      <c r="F47" s="42" t="s">
        <v>821</v>
      </c>
      <c r="G47" s="42" t="s">
        <v>615</v>
      </c>
      <c r="H47" s="46">
        <v>1</v>
      </c>
      <c r="I47" s="5"/>
      <c r="J47" s="5"/>
      <c r="K47" s="5"/>
      <c r="L47" s="5"/>
      <c r="M47" s="5"/>
      <c r="N47" s="5"/>
      <c r="O47" s="5"/>
      <c r="P47" s="5"/>
      <c r="Q47" s="5"/>
      <c r="R47" s="5"/>
    </row>
    <row r="48" spans="1:18" s="1" customFormat="1" x14ac:dyDescent="0.25">
      <c r="A48" s="27"/>
      <c r="B48" s="5"/>
      <c r="C48" s="5"/>
      <c r="D48" s="42" t="s">
        <v>699</v>
      </c>
      <c r="E48" s="42" t="s">
        <v>9</v>
      </c>
      <c r="F48" s="42" t="s">
        <v>821</v>
      </c>
      <c r="G48" s="42" t="s">
        <v>697</v>
      </c>
      <c r="H48" s="42" t="s">
        <v>702</v>
      </c>
      <c r="I48" s="5"/>
      <c r="J48" s="5"/>
      <c r="K48" s="5"/>
      <c r="L48" s="5"/>
      <c r="M48" s="5"/>
      <c r="N48" s="5"/>
      <c r="O48" s="5"/>
      <c r="P48" s="5"/>
      <c r="Q48" s="5"/>
      <c r="R48" s="5"/>
    </row>
    <row r="49" spans="1:18" s="1" customFormat="1" x14ac:dyDescent="0.25">
      <c r="A49" s="27">
        <v>1</v>
      </c>
      <c r="B49" s="42" t="s">
        <v>952</v>
      </c>
      <c r="C49" s="42" t="s">
        <v>710</v>
      </c>
      <c r="D49" s="42" t="s">
        <v>562</v>
      </c>
      <c r="E49" s="42" t="s">
        <v>15</v>
      </c>
      <c r="F49" s="42" t="s">
        <v>564</v>
      </c>
      <c r="G49" s="42"/>
      <c r="H49" s="76" t="s">
        <v>949</v>
      </c>
      <c r="I49" s="5"/>
      <c r="J49" s="5"/>
      <c r="K49" s="5"/>
      <c r="L49" s="5"/>
      <c r="M49" s="5"/>
      <c r="N49" s="5"/>
      <c r="O49" s="5"/>
      <c r="P49" s="5"/>
      <c r="Q49" s="5"/>
      <c r="R49" s="5"/>
    </row>
    <row r="50" spans="1:18" s="1" customFormat="1" x14ac:dyDescent="0.25">
      <c r="A50" s="27"/>
      <c r="B50" s="5"/>
      <c r="C50" s="5"/>
      <c r="D50" s="42" t="s">
        <v>578</v>
      </c>
      <c r="E50" s="42" t="s">
        <v>568</v>
      </c>
      <c r="F50" s="42" t="s">
        <v>564</v>
      </c>
      <c r="G50" s="42" t="s">
        <v>577</v>
      </c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</row>
    <row r="51" spans="1:18" s="1" customFormat="1" ht="28" x14ac:dyDescent="0.25">
      <c r="A51" s="27"/>
      <c r="B51" s="5"/>
      <c r="C51" s="5"/>
      <c r="D51" s="42" t="s">
        <v>977</v>
      </c>
      <c r="E51" s="42" t="s">
        <v>528</v>
      </c>
      <c r="F51" s="42" t="s">
        <v>564</v>
      </c>
      <c r="G51" s="42" t="s">
        <v>579</v>
      </c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</row>
    <row r="52" spans="1:18" s="1" customFormat="1" x14ac:dyDescent="0.25">
      <c r="A52" s="27"/>
      <c r="B52" s="5"/>
      <c r="C52" s="5"/>
      <c r="D52" s="42" t="s">
        <v>580</v>
      </c>
      <c r="E52" s="42" t="s">
        <v>5</v>
      </c>
      <c r="F52" s="42" t="s">
        <v>564</v>
      </c>
      <c r="G52" s="42" t="s">
        <v>579</v>
      </c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</row>
    <row r="53" spans="1:18" s="1" customFormat="1" x14ac:dyDescent="0.25">
      <c r="A53" s="27"/>
      <c r="B53" s="5"/>
      <c r="C53" s="5"/>
      <c r="D53" s="42" t="s">
        <v>581</v>
      </c>
      <c r="E53" s="42" t="s">
        <v>4</v>
      </c>
      <c r="F53" s="42" t="s">
        <v>564</v>
      </c>
      <c r="G53" s="42" t="s">
        <v>582</v>
      </c>
      <c r="H53" s="42" t="s">
        <v>654</v>
      </c>
      <c r="I53" s="5"/>
      <c r="J53" s="5"/>
      <c r="K53" s="5"/>
      <c r="L53" s="5"/>
      <c r="M53" s="5"/>
      <c r="N53" s="5"/>
      <c r="O53" s="5"/>
      <c r="P53" s="5"/>
      <c r="Q53" s="5"/>
      <c r="R53" s="5"/>
    </row>
    <row r="54" spans="1:18" s="1" customFormat="1" x14ac:dyDescent="0.25">
      <c r="A54" s="27"/>
      <c r="B54" s="5"/>
      <c r="C54" s="5"/>
      <c r="D54" s="42" t="s">
        <v>583</v>
      </c>
      <c r="E54" s="42" t="s">
        <v>212</v>
      </c>
      <c r="F54" s="42" t="s">
        <v>564</v>
      </c>
      <c r="G54" s="42" t="s">
        <v>582</v>
      </c>
      <c r="H54" s="42" t="s">
        <v>213</v>
      </c>
      <c r="I54" s="5"/>
      <c r="J54" s="5"/>
      <c r="K54" s="5"/>
      <c r="L54" s="5"/>
      <c r="M54" s="5"/>
      <c r="N54" s="5"/>
      <c r="O54" s="5"/>
      <c r="P54" s="5"/>
      <c r="Q54" s="5"/>
      <c r="R54" s="5"/>
    </row>
    <row r="55" spans="1:18" s="1" customFormat="1" x14ac:dyDescent="0.25">
      <c r="A55" s="27"/>
      <c r="B55" s="5"/>
      <c r="C55" s="5"/>
      <c r="D55" s="42" t="s">
        <v>610</v>
      </c>
      <c r="E55" s="42" t="s">
        <v>5</v>
      </c>
      <c r="F55" s="42" t="s">
        <v>564</v>
      </c>
      <c r="G55" s="42" t="s">
        <v>585</v>
      </c>
      <c r="H55" s="42"/>
      <c r="I55" s="5"/>
      <c r="J55" s="5"/>
      <c r="K55" s="5"/>
      <c r="L55" s="5"/>
      <c r="M55" s="5"/>
      <c r="N55" s="5"/>
      <c r="O55" s="5"/>
      <c r="P55" s="5"/>
      <c r="Q55" s="5"/>
      <c r="R55" s="5"/>
    </row>
    <row r="56" spans="1:18" s="1" customFormat="1" x14ac:dyDescent="0.25">
      <c r="A56" s="27"/>
      <c r="B56" s="5"/>
      <c r="C56" s="5"/>
      <c r="D56" s="42" t="s">
        <v>563</v>
      </c>
      <c r="E56" s="42" t="s">
        <v>5</v>
      </c>
      <c r="F56" s="42" t="s">
        <v>564</v>
      </c>
      <c r="G56" s="42" t="s">
        <v>586</v>
      </c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</row>
    <row r="57" spans="1:18" s="1" customFormat="1" x14ac:dyDescent="0.25">
      <c r="A57" s="27"/>
      <c r="B57" s="5"/>
      <c r="C57" s="5"/>
      <c r="D57" s="42" t="s">
        <v>613</v>
      </c>
      <c r="E57" s="42" t="s">
        <v>211</v>
      </c>
      <c r="F57" s="42" t="s">
        <v>564</v>
      </c>
      <c r="G57" s="42" t="s">
        <v>611</v>
      </c>
      <c r="H57" s="42"/>
      <c r="I57" s="5"/>
      <c r="J57" s="5"/>
      <c r="K57" s="5"/>
      <c r="L57" s="5"/>
      <c r="M57" s="5"/>
      <c r="N57" s="5"/>
      <c r="O57" s="5"/>
      <c r="P57" s="5"/>
      <c r="Q57" s="5"/>
      <c r="R57" s="5"/>
    </row>
    <row r="58" spans="1:18" s="1" customFormat="1" x14ac:dyDescent="0.25">
      <c r="A58" s="27"/>
      <c r="B58" s="5"/>
      <c r="C58" s="5"/>
      <c r="D58" s="42" t="s">
        <v>614</v>
      </c>
      <c r="E58" s="42" t="s">
        <v>5</v>
      </c>
      <c r="F58" s="42" t="s">
        <v>564</v>
      </c>
      <c r="G58" s="42" t="s">
        <v>612</v>
      </c>
      <c r="H58" s="42"/>
      <c r="I58" s="5"/>
      <c r="J58" s="5"/>
      <c r="K58" s="5"/>
      <c r="L58" s="5"/>
      <c r="M58" s="5"/>
      <c r="N58" s="5"/>
      <c r="O58" s="5"/>
      <c r="P58" s="5"/>
      <c r="Q58" s="5"/>
      <c r="R58" s="5"/>
    </row>
    <row r="59" spans="1:18" s="1" customFormat="1" x14ac:dyDescent="0.25">
      <c r="A59" s="27"/>
      <c r="B59" s="5"/>
      <c r="C59" s="5"/>
      <c r="D59" s="42" t="s">
        <v>716</v>
      </c>
      <c r="E59" s="42" t="s">
        <v>5</v>
      </c>
      <c r="F59" s="42" t="s">
        <v>822</v>
      </c>
      <c r="G59" s="42" t="s">
        <v>967</v>
      </c>
      <c r="H59" s="42"/>
      <c r="I59" s="5"/>
      <c r="J59" s="5"/>
      <c r="K59" s="5"/>
      <c r="L59" s="5"/>
      <c r="M59" s="5"/>
      <c r="N59" s="5"/>
      <c r="O59" s="5"/>
      <c r="P59" s="5"/>
      <c r="Q59" s="5"/>
      <c r="R59" s="5"/>
    </row>
    <row r="60" spans="1:18" s="1" customFormat="1" x14ac:dyDescent="0.25">
      <c r="A60" s="27"/>
      <c r="B60" s="5"/>
      <c r="C60" s="5"/>
      <c r="D60" s="42" t="s">
        <v>717</v>
      </c>
      <c r="E60" s="42" t="s">
        <v>5</v>
      </c>
      <c r="F60" s="42" t="s">
        <v>821</v>
      </c>
      <c r="G60" s="42" t="s">
        <v>713</v>
      </c>
      <c r="H60" s="42"/>
      <c r="I60" s="5"/>
      <c r="J60" s="5"/>
      <c r="K60" s="5"/>
      <c r="L60" s="5"/>
      <c r="M60" s="5"/>
      <c r="N60" s="5"/>
      <c r="O60" s="5"/>
      <c r="P60" s="5"/>
      <c r="Q60" s="5"/>
      <c r="R60" s="5"/>
    </row>
    <row r="61" spans="1:18" s="1" customFormat="1" x14ac:dyDescent="0.25">
      <c r="A61" s="27"/>
      <c r="B61" s="5"/>
      <c r="C61" s="5"/>
      <c r="D61" s="42" t="s">
        <v>718</v>
      </c>
      <c r="E61" s="42" t="s">
        <v>4</v>
      </c>
      <c r="F61" s="42" t="s">
        <v>821</v>
      </c>
      <c r="G61" s="42" t="s">
        <v>725</v>
      </c>
      <c r="H61" s="42" t="s">
        <v>720</v>
      </c>
      <c r="I61" s="5"/>
      <c r="J61" s="5"/>
      <c r="K61" s="5"/>
      <c r="L61" s="5"/>
      <c r="M61" s="5"/>
      <c r="N61" s="5"/>
      <c r="O61" s="5"/>
      <c r="P61" s="5"/>
      <c r="Q61" s="5"/>
      <c r="R61" s="5"/>
    </row>
    <row r="62" spans="1:18" s="1" customFormat="1" x14ac:dyDescent="0.25">
      <c r="A62" s="27"/>
      <c r="B62" s="5"/>
      <c r="C62" s="5"/>
      <c r="D62" s="42" t="s">
        <v>719</v>
      </c>
      <c r="E62" s="42" t="s">
        <v>5</v>
      </c>
      <c r="F62" s="42" t="s">
        <v>821</v>
      </c>
      <c r="G62" s="42" t="s">
        <v>956</v>
      </c>
      <c r="H62" s="42"/>
      <c r="I62" s="5"/>
      <c r="J62" s="5"/>
      <c r="K62" s="5"/>
      <c r="L62" s="5"/>
      <c r="M62" s="5"/>
      <c r="N62" s="5"/>
      <c r="O62" s="5"/>
      <c r="P62" s="5"/>
      <c r="Q62" s="5"/>
      <c r="R62" s="5"/>
    </row>
    <row r="63" spans="1:18" s="1" customFormat="1" x14ac:dyDescent="0.25">
      <c r="A63" s="27">
        <v>1</v>
      </c>
      <c r="B63" s="42" t="s">
        <v>816</v>
      </c>
      <c r="C63" s="42" t="s">
        <v>721</v>
      </c>
      <c r="D63" s="42" t="s">
        <v>562</v>
      </c>
      <c r="E63" s="42" t="s">
        <v>15</v>
      </c>
      <c r="F63" s="42" t="s">
        <v>564</v>
      </c>
      <c r="G63" s="42"/>
      <c r="H63" s="76" t="s">
        <v>949</v>
      </c>
      <c r="I63" s="5"/>
      <c r="J63" s="5"/>
      <c r="K63" s="5"/>
      <c r="L63" s="5"/>
      <c r="M63" s="5"/>
      <c r="N63" s="5"/>
      <c r="O63" s="5"/>
      <c r="P63" s="5"/>
      <c r="Q63" s="5"/>
      <c r="R63" s="5"/>
    </row>
    <row r="64" spans="1:18" s="1" customFormat="1" x14ac:dyDescent="0.25">
      <c r="A64" s="27"/>
      <c r="B64" s="5"/>
      <c r="C64" s="5"/>
      <c r="D64" s="42" t="s">
        <v>578</v>
      </c>
      <c r="E64" s="42" t="s">
        <v>568</v>
      </c>
      <c r="F64" s="42" t="s">
        <v>564</v>
      </c>
      <c r="G64" s="42" t="s">
        <v>577</v>
      </c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</row>
    <row r="65" spans="1:18" s="1" customFormat="1" ht="28" x14ac:dyDescent="0.25">
      <c r="A65" s="27"/>
      <c r="B65" s="5"/>
      <c r="C65" s="5"/>
      <c r="D65" s="42" t="s">
        <v>977</v>
      </c>
      <c r="E65" s="42" t="s">
        <v>528</v>
      </c>
      <c r="F65" s="42" t="s">
        <v>564</v>
      </c>
      <c r="G65" s="42" t="s">
        <v>579</v>
      </c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</row>
    <row r="66" spans="1:18" s="1" customFormat="1" x14ac:dyDescent="0.25">
      <c r="A66" s="27"/>
      <c r="B66" s="5"/>
      <c r="C66" s="5"/>
      <c r="D66" s="42" t="s">
        <v>580</v>
      </c>
      <c r="E66" s="42" t="s">
        <v>5</v>
      </c>
      <c r="F66" s="42" t="s">
        <v>564</v>
      </c>
      <c r="G66" s="42" t="s">
        <v>579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</row>
    <row r="67" spans="1:18" s="1" customFormat="1" x14ac:dyDescent="0.25">
      <c r="A67" s="27"/>
      <c r="B67" s="5"/>
      <c r="C67" s="5"/>
      <c r="D67" s="42" t="s">
        <v>581</v>
      </c>
      <c r="E67" s="42" t="s">
        <v>4</v>
      </c>
      <c r="F67" s="42" t="s">
        <v>564</v>
      </c>
      <c r="G67" s="42" t="s">
        <v>582</v>
      </c>
      <c r="H67" s="42" t="s">
        <v>694</v>
      </c>
      <c r="I67" s="5"/>
      <c r="J67" s="5"/>
      <c r="K67" s="5"/>
      <c r="L67" s="5"/>
      <c r="M67" s="5"/>
      <c r="N67" s="5"/>
      <c r="O67" s="5"/>
      <c r="P67" s="5"/>
      <c r="Q67" s="5"/>
      <c r="R67" s="5"/>
    </row>
    <row r="68" spans="1:18" s="1" customFormat="1" x14ac:dyDescent="0.25">
      <c r="A68" s="27"/>
      <c r="B68" s="5"/>
      <c r="C68" s="5"/>
      <c r="D68" s="42" t="s">
        <v>583</v>
      </c>
      <c r="E68" s="42" t="s">
        <v>212</v>
      </c>
      <c r="F68" s="42" t="s">
        <v>564</v>
      </c>
      <c r="G68" s="42" t="s">
        <v>582</v>
      </c>
      <c r="H68" s="42" t="s">
        <v>213</v>
      </c>
      <c r="I68" s="5"/>
      <c r="J68" s="5"/>
      <c r="K68" s="5"/>
      <c r="L68" s="5"/>
      <c r="M68" s="5"/>
      <c r="N68" s="5"/>
      <c r="O68" s="5"/>
      <c r="P68" s="5"/>
      <c r="Q68" s="5"/>
      <c r="R68" s="5"/>
    </row>
    <row r="69" spans="1:18" s="30" customFormat="1" x14ac:dyDescent="0.25">
      <c r="A69" s="27"/>
      <c r="B69" s="5"/>
      <c r="C69" s="5"/>
      <c r="D69" s="42" t="s">
        <v>610</v>
      </c>
      <c r="E69" s="42" t="s">
        <v>5</v>
      </c>
      <c r="F69" s="42" t="s">
        <v>564</v>
      </c>
      <c r="G69" s="42" t="s">
        <v>585</v>
      </c>
      <c r="H69" s="42"/>
      <c r="I69" s="29"/>
      <c r="J69" s="29"/>
      <c r="K69" s="29"/>
      <c r="L69" s="29"/>
      <c r="M69" s="29"/>
      <c r="N69" s="29"/>
      <c r="O69" s="29"/>
      <c r="P69" s="29"/>
      <c r="Q69" s="29"/>
      <c r="R69" s="29"/>
    </row>
    <row r="70" spans="1:18" s="30" customFormat="1" x14ac:dyDescent="0.25">
      <c r="A70" s="27"/>
      <c r="B70" s="5"/>
      <c r="C70" s="5"/>
      <c r="D70" s="42" t="s">
        <v>563</v>
      </c>
      <c r="E70" s="42" t="s">
        <v>5</v>
      </c>
      <c r="F70" s="42" t="s">
        <v>564</v>
      </c>
      <c r="G70" s="42" t="s">
        <v>586</v>
      </c>
      <c r="H70" s="5"/>
      <c r="I70" s="29"/>
      <c r="J70" s="29"/>
      <c r="K70" s="29"/>
      <c r="L70" s="29"/>
      <c r="M70" s="29"/>
      <c r="N70" s="29"/>
      <c r="O70" s="29"/>
      <c r="P70" s="29"/>
      <c r="Q70" s="29"/>
      <c r="R70" s="29"/>
    </row>
    <row r="71" spans="1:18" s="30" customFormat="1" x14ac:dyDescent="0.25">
      <c r="A71" s="27"/>
      <c r="B71" s="5"/>
      <c r="C71" s="5"/>
      <c r="D71" s="42" t="s">
        <v>613</v>
      </c>
      <c r="E71" s="42" t="s">
        <v>211</v>
      </c>
      <c r="F71" s="42" t="s">
        <v>564</v>
      </c>
      <c r="G71" s="42" t="s">
        <v>611</v>
      </c>
      <c r="H71" s="42"/>
      <c r="I71" s="29"/>
      <c r="J71" s="29"/>
      <c r="K71" s="29"/>
      <c r="L71" s="29"/>
      <c r="M71" s="29"/>
      <c r="N71" s="29"/>
      <c r="O71" s="29"/>
      <c r="P71" s="29"/>
      <c r="Q71" s="29"/>
      <c r="R71" s="29"/>
    </row>
    <row r="72" spans="1:18" s="30" customFormat="1" x14ac:dyDescent="0.25">
      <c r="A72" s="27"/>
      <c r="B72" s="5"/>
      <c r="C72" s="5"/>
      <c r="D72" s="42" t="s">
        <v>614</v>
      </c>
      <c r="E72" s="42" t="s">
        <v>5</v>
      </c>
      <c r="F72" s="42" t="s">
        <v>564</v>
      </c>
      <c r="G72" s="42" t="s">
        <v>612</v>
      </c>
      <c r="H72" s="42"/>
      <c r="I72" s="29"/>
      <c r="J72" s="29"/>
      <c r="K72" s="29"/>
      <c r="L72" s="29"/>
      <c r="M72" s="29"/>
      <c r="N72" s="29"/>
      <c r="O72" s="29"/>
      <c r="P72" s="29"/>
      <c r="Q72" s="29"/>
      <c r="R72" s="29"/>
    </row>
    <row r="73" spans="1:18" s="30" customFormat="1" x14ac:dyDescent="0.25">
      <c r="A73" s="27"/>
      <c r="B73" s="5"/>
      <c r="C73" s="5"/>
      <c r="D73" s="42" t="s">
        <v>716</v>
      </c>
      <c r="E73" s="42" t="s">
        <v>5</v>
      </c>
      <c r="F73" s="42" t="s">
        <v>822</v>
      </c>
      <c r="G73" s="42" t="s">
        <v>967</v>
      </c>
      <c r="H73" s="42"/>
      <c r="I73" s="29"/>
      <c r="J73" s="29"/>
      <c r="K73" s="29"/>
      <c r="L73" s="29"/>
      <c r="M73" s="29"/>
      <c r="N73" s="29"/>
      <c r="O73" s="29"/>
      <c r="P73" s="29"/>
      <c r="Q73" s="29"/>
      <c r="R73" s="29"/>
    </row>
    <row r="74" spans="1:18" s="30" customFormat="1" x14ac:dyDescent="0.25">
      <c r="A74" s="27"/>
      <c r="B74" s="5"/>
      <c r="C74" s="5"/>
      <c r="D74" s="42" t="s">
        <v>722</v>
      </c>
      <c r="E74" s="42" t="s">
        <v>5</v>
      </c>
      <c r="F74" s="42" t="s">
        <v>821</v>
      </c>
      <c r="G74" s="42" t="s">
        <v>713</v>
      </c>
      <c r="H74" s="42"/>
      <c r="I74" s="29"/>
      <c r="J74" s="29"/>
      <c r="K74" s="29"/>
      <c r="L74" s="29"/>
      <c r="M74" s="29"/>
      <c r="N74" s="29"/>
      <c r="O74" s="29"/>
      <c r="P74" s="29"/>
      <c r="Q74" s="29"/>
      <c r="R74" s="29"/>
    </row>
    <row r="75" spans="1:18" s="30" customFormat="1" x14ac:dyDescent="0.25">
      <c r="A75" s="27"/>
      <c r="B75" s="5"/>
      <c r="C75" s="5"/>
      <c r="D75" s="42" t="s">
        <v>723</v>
      </c>
      <c r="E75" s="42" t="s">
        <v>4</v>
      </c>
      <c r="F75" s="42" t="s">
        <v>821</v>
      </c>
      <c r="G75" s="42" t="s">
        <v>725</v>
      </c>
      <c r="H75" s="42" t="s">
        <v>720</v>
      </c>
      <c r="I75" s="29"/>
      <c r="J75" s="29"/>
      <c r="K75" s="29"/>
      <c r="L75" s="29"/>
      <c r="M75" s="29"/>
      <c r="N75" s="29"/>
      <c r="O75" s="29"/>
      <c r="P75" s="29"/>
      <c r="Q75" s="29"/>
      <c r="R75" s="29"/>
    </row>
    <row r="76" spans="1:18" s="1" customFormat="1" x14ac:dyDescent="0.25">
      <c r="A76" s="27"/>
      <c r="B76" s="5"/>
      <c r="C76" s="5"/>
      <c r="D76" s="42" t="s">
        <v>724</v>
      </c>
      <c r="E76" s="42" t="s">
        <v>5</v>
      </c>
      <c r="F76" s="42" t="s">
        <v>821</v>
      </c>
      <c r="G76" s="42" t="s">
        <v>956</v>
      </c>
      <c r="H76" s="42"/>
      <c r="I76" s="5"/>
      <c r="J76" s="5"/>
      <c r="K76" s="5"/>
      <c r="L76" s="5"/>
      <c r="M76" s="5"/>
      <c r="N76" s="5"/>
      <c r="O76" s="5"/>
      <c r="P76" s="5"/>
      <c r="Q76" s="5"/>
      <c r="R76" s="5"/>
    </row>
    <row r="77" spans="1:18" s="1" customFormat="1" ht="28" x14ac:dyDescent="0.25">
      <c r="A77" s="27">
        <v>0</v>
      </c>
      <c r="B77" s="42" t="s">
        <v>964</v>
      </c>
      <c r="C77" s="42" t="s">
        <v>918</v>
      </c>
      <c r="D77" s="42" t="s">
        <v>562</v>
      </c>
      <c r="E77" s="42" t="s">
        <v>15</v>
      </c>
      <c r="F77" s="42" t="s">
        <v>564</v>
      </c>
      <c r="G77" s="42"/>
      <c r="H77" s="76" t="s">
        <v>949</v>
      </c>
      <c r="I77" s="5"/>
      <c r="J77" s="5"/>
      <c r="K77" s="5"/>
      <c r="L77" s="5"/>
      <c r="M77" s="5"/>
      <c r="N77" s="5"/>
      <c r="O77" s="5"/>
      <c r="P77" s="5"/>
      <c r="Q77" s="5"/>
      <c r="R77" s="5"/>
    </row>
    <row r="78" spans="1:18" s="1" customFormat="1" x14ac:dyDescent="0.25">
      <c r="A78" s="27"/>
      <c r="B78" s="5"/>
      <c r="C78" s="5"/>
      <c r="D78" s="42" t="s">
        <v>578</v>
      </c>
      <c r="E78" s="42" t="s">
        <v>568</v>
      </c>
      <c r="F78" s="42" t="s">
        <v>564</v>
      </c>
      <c r="G78" s="42" t="s">
        <v>577</v>
      </c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</row>
    <row r="79" spans="1:18" s="1" customFormat="1" x14ac:dyDescent="0.25">
      <c r="A79" s="27"/>
      <c r="B79" s="5"/>
      <c r="C79" s="5"/>
      <c r="D79" s="42" t="s">
        <v>580</v>
      </c>
      <c r="E79" s="42" t="s">
        <v>5</v>
      </c>
      <c r="F79" s="42" t="s">
        <v>564</v>
      </c>
      <c r="G79" s="42" t="s">
        <v>579</v>
      </c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</row>
    <row r="80" spans="1:18" s="1" customFormat="1" x14ac:dyDescent="0.25">
      <c r="A80" s="27"/>
      <c r="B80" s="5"/>
      <c r="C80" s="5"/>
      <c r="D80" s="42" t="s">
        <v>581</v>
      </c>
      <c r="E80" s="42" t="s">
        <v>4</v>
      </c>
      <c r="F80" s="42" t="s">
        <v>564</v>
      </c>
      <c r="G80" s="42" t="s">
        <v>582</v>
      </c>
      <c r="H80" s="42" t="s">
        <v>609</v>
      </c>
      <c r="I80" s="5"/>
      <c r="J80" s="5"/>
      <c r="K80" s="5"/>
      <c r="L80" s="5"/>
      <c r="M80" s="5"/>
      <c r="N80" s="5"/>
      <c r="O80" s="5"/>
      <c r="P80" s="5"/>
      <c r="Q80" s="5"/>
      <c r="R80" s="5"/>
    </row>
    <row r="81" spans="1:18" s="1" customFormat="1" x14ac:dyDescent="0.25">
      <c r="A81" s="27"/>
      <c r="B81" s="5"/>
      <c r="C81" s="5"/>
      <c r="D81" s="42" t="s">
        <v>583</v>
      </c>
      <c r="E81" s="42" t="s">
        <v>212</v>
      </c>
      <c r="F81" s="42" t="s">
        <v>564</v>
      </c>
      <c r="G81" s="42" t="s">
        <v>582</v>
      </c>
      <c r="H81" s="42" t="s">
        <v>213</v>
      </c>
      <c r="I81" s="5"/>
      <c r="J81" s="5"/>
      <c r="K81" s="5"/>
      <c r="L81" s="5"/>
      <c r="M81" s="5"/>
      <c r="N81" s="5"/>
      <c r="O81" s="5"/>
      <c r="P81" s="5"/>
      <c r="Q81" s="5"/>
      <c r="R81" s="5"/>
    </row>
    <row r="82" spans="1:18" s="1" customFormat="1" x14ac:dyDescent="0.25">
      <c r="A82" s="27"/>
      <c r="B82" s="5"/>
      <c r="C82" s="5"/>
      <c r="D82" s="42" t="s">
        <v>610</v>
      </c>
      <c r="E82" s="42" t="s">
        <v>5</v>
      </c>
      <c r="F82" s="42" t="s">
        <v>564</v>
      </c>
      <c r="G82" s="42" t="s">
        <v>585</v>
      </c>
      <c r="H82" s="42"/>
      <c r="I82" s="5"/>
      <c r="J82" s="5"/>
      <c r="K82" s="5"/>
      <c r="L82" s="5"/>
      <c r="M82" s="5"/>
      <c r="N82" s="5"/>
      <c r="O82" s="5"/>
      <c r="P82" s="5"/>
      <c r="Q82" s="5"/>
      <c r="R82" s="5"/>
    </row>
    <row r="83" spans="1:18" s="1" customFormat="1" x14ac:dyDescent="0.25">
      <c r="A83" s="27"/>
      <c r="B83" s="5"/>
      <c r="C83" s="5"/>
      <c r="D83" s="42" t="s">
        <v>563</v>
      </c>
      <c r="E83" s="42" t="s">
        <v>5</v>
      </c>
      <c r="F83" s="42" t="s">
        <v>564</v>
      </c>
      <c r="G83" s="42" t="s">
        <v>586</v>
      </c>
      <c r="I83" s="5"/>
      <c r="J83" s="5"/>
      <c r="K83" s="5"/>
      <c r="L83" s="5"/>
      <c r="M83" s="5"/>
      <c r="N83" s="5"/>
      <c r="O83" s="5"/>
      <c r="P83" s="5"/>
      <c r="Q83" s="5"/>
      <c r="R83" s="5"/>
    </row>
    <row r="84" spans="1:18" s="1" customFormat="1" x14ac:dyDescent="0.25">
      <c r="A84" s="27"/>
      <c r="B84" s="5"/>
      <c r="C84" s="5"/>
      <c r="D84" s="42" t="s">
        <v>613</v>
      </c>
      <c r="E84" s="42" t="s">
        <v>211</v>
      </c>
      <c r="F84" s="42" t="s">
        <v>564</v>
      </c>
      <c r="G84" s="42" t="s">
        <v>611</v>
      </c>
      <c r="H84" s="42"/>
      <c r="I84" s="5"/>
      <c r="J84" s="5"/>
      <c r="K84" s="5"/>
      <c r="L84" s="5"/>
      <c r="M84" s="5"/>
      <c r="N84" s="5"/>
      <c r="O84" s="5"/>
      <c r="P84" s="5"/>
      <c r="Q84" s="5"/>
      <c r="R84" s="5"/>
    </row>
    <row r="85" spans="1:18" s="1" customFormat="1" x14ac:dyDescent="0.25">
      <c r="A85" s="27"/>
      <c r="B85" s="5"/>
      <c r="C85" s="5"/>
      <c r="D85" s="42" t="s">
        <v>825</v>
      </c>
      <c r="E85" s="42" t="s">
        <v>5</v>
      </c>
      <c r="F85" s="42" t="s">
        <v>564</v>
      </c>
      <c r="G85" s="42" t="s">
        <v>818</v>
      </c>
      <c r="H85" s="42"/>
      <c r="I85" s="5"/>
      <c r="J85" s="5"/>
      <c r="K85" s="5"/>
      <c r="L85" s="5"/>
      <c r="M85" s="5"/>
      <c r="N85" s="5"/>
      <c r="O85" s="5"/>
      <c r="P85" s="5"/>
      <c r="Q85" s="5"/>
      <c r="R85" s="5"/>
    </row>
    <row r="86" spans="1:18" s="1" customFormat="1" x14ac:dyDescent="0.25">
      <c r="A86" s="27"/>
      <c r="B86" s="5"/>
      <c r="C86" s="5"/>
      <c r="D86" s="42" t="s">
        <v>826</v>
      </c>
      <c r="E86" s="42" t="s">
        <v>4</v>
      </c>
      <c r="F86" s="42" t="s">
        <v>822</v>
      </c>
      <c r="G86" s="42" t="s">
        <v>824</v>
      </c>
      <c r="H86" s="42" t="s">
        <v>702</v>
      </c>
      <c r="I86" s="5"/>
      <c r="J86" s="5"/>
      <c r="K86" s="5"/>
      <c r="L86" s="5"/>
      <c r="M86" s="5"/>
      <c r="N86" s="5"/>
      <c r="O86" s="5"/>
      <c r="P86" s="5"/>
      <c r="Q86" s="5"/>
      <c r="R86" s="5"/>
    </row>
    <row r="87" spans="1:18" s="1" customFormat="1" x14ac:dyDescent="0.25">
      <c r="A87" s="27"/>
      <c r="B87" s="5"/>
      <c r="C87" s="5"/>
      <c r="D87" s="42" t="s">
        <v>583</v>
      </c>
      <c r="E87" s="42" t="s">
        <v>212</v>
      </c>
      <c r="F87" s="42" t="s">
        <v>822</v>
      </c>
      <c r="G87" s="42" t="s">
        <v>824</v>
      </c>
      <c r="H87" s="42" t="s">
        <v>213</v>
      </c>
      <c r="I87" s="5"/>
      <c r="J87" s="5"/>
      <c r="K87" s="5"/>
      <c r="L87" s="5"/>
      <c r="M87" s="5"/>
      <c r="N87" s="5"/>
      <c r="O87" s="5"/>
      <c r="P87" s="5"/>
      <c r="Q87" s="5"/>
      <c r="R87" s="5"/>
    </row>
    <row r="88" spans="1:18" s="1" customFormat="1" x14ac:dyDescent="0.25">
      <c r="A88" s="27"/>
      <c r="B88" s="5"/>
      <c r="C88" s="5"/>
      <c r="D88" s="42" t="s">
        <v>966</v>
      </c>
      <c r="E88" s="42" t="s">
        <v>5</v>
      </c>
      <c r="F88" s="42" t="s">
        <v>822</v>
      </c>
      <c r="G88" s="42" t="s">
        <v>967</v>
      </c>
      <c r="H88" s="42"/>
      <c r="I88" s="5"/>
      <c r="J88" s="5"/>
      <c r="K88" s="5"/>
      <c r="L88" s="5"/>
      <c r="M88" s="5"/>
      <c r="N88" s="5"/>
      <c r="O88" s="5"/>
      <c r="P88" s="5"/>
      <c r="Q88" s="5"/>
      <c r="R88" s="5"/>
    </row>
    <row r="89" spans="1:18" s="1" customFormat="1" x14ac:dyDescent="0.25">
      <c r="A89" s="27"/>
      <c r="B89" s="5"/>
      <c r="C89" s="5"/>
      <c r="D89" s="42" t="s">
        <v>829</v>
      </c>
      <c r="E89" s="42" t="s">
        <v>5</v>
      </c>
      <c r="F89" s="42" t="s">
        <v>822</v>
      </c>
      <c r="G89" s="42" t="s">
        <v>828</v>
      </c>
      <c r="H89" s="42"/>
      <c r="I89" s="5"/>
      <c r="J89" s="5"/>
      <c r="K89" s="5"/>
      <c r="L89" s="5"/>
      <c r="M89" s="5"/>
      <c r="N89" s="5"/>
      <c r="O89" s="5"/>
      <c r="P89" s="5"/>
      <c r="Q89" s="5"/>
      <c r="R89" s="5"/>
    </row>
    <row r="90" spans="1:18" s="1" customFormat="1" ht="28" x14ac:dyDescent="0.25">
      <c r="A90" s="27"/>
      <c r="B90" s="5"/>
      <c r="C90" s="5"/>
      <c r="D90" s="42" t="s">
        <v>871</v>
      </c>
      <c r="E90" s="42" t="s">
        <v>5</v>
      </c>
      <c r="F90" s="42" t="s">
        <v>822</v>
      </c>
      <c r="G90" s="42" t="s">
        <v>831</v>
      </c>
      <c r="H90" s="42"/>
      <c r="I90" s="5"/>
      <c r="J90" s="5"/>
      <c r="K90" s="5"/>
      <c r="L90" s="5"/>
      <c r="M90" s="5"/>
      <c r="N90" s="5"/>
      <c r="O90" s="5"/>
      <c r="P90" s="5"/>
      <c r="Q90" s="5"/>
      <c r="R90" s="5"/>
    </row>
    <row r="91" spans="1:18" s="1" customFormat="1" ht="42" x14ac:dyDescent="0.25">
      <c r="A91" s="27"/>
      <c r="B91" s="5"/>
      <c r="C91" s="5"/>
      <c r="D91" s="42" t="s">
        <v>872</v>
      </c>
      <c r="E91" s="42" t="s">
        <v>5</v>
      </c>
      <c r="F91" s="42" t="s">
        <v>822</v>
      </c>
      <c r="G91" s="42" t="s">
        <v>832</v>
      </c>
      <c r="H91" s="42"/>
      <c r="I91" s="5"/>
      <c r="J91" s="5"/>
      <c r="K91" s="5"/>
      <c r="L91" s="5"/>
      <c r="M91" s="5"/>
      <c r="N91" s="5"/>
      <c r="O91" s="5"/>
      <c r="P91" s="5"/>
      <c r="Q91" s="5"/>
      <c r="R91" s="5"/>
    </row>
    <row r="92" spans="1:18" s="1" customFormat="1" ht="28" x14ac:dyDescent="0.25">
      <c r="A92" s="27">
        <v>0</v>
      </c>
      <c r="B92" s="42" t="s">
        <v>965</v>
      </c>
      <c r="C92" s="42" t="s">
        <v>817</v>
      </c>
      <c r="D92" s="42" t="s">
        <v>562</v>
      </c>
      <c r="E92" s="42" t="s">
        <v>15</v>
      </c>
      <c r="F92" s="42" t="s">
        <v>564</v>
      </c>
      <c r="G92" s="42"/>
      <c r="H92" s="76" t="s">
        <v>949</v>
      </c>
      <c r="I92" s="5"/>
      <c r="J92" s="5"/>
      <c r="K92" s="5"/>
      <c r="L92" s="5"/>
      <c r="M92" s="5"/>
      <c r="N92" s="5"/>
      <c r="O92" s="5"/>
      <c r="P92" s="5"/>
      <c r="Q92" s="5"/>
      <c r="R92" s="5"/>
    </row>
    <row r="93" spans="1:18" s="1" customFormat="1" x14ac:dyDescent="0.35">
      <c r="A93" s="27"/>
      <c r="B93" s="42"/>
      <c r="C93" s="42"/>
      <c r="D93" s="42" t="s">
        <v>968</v>
      </c>
      <c r="E93" s="99" t="s">
        <v>837</v>
      </c>
      <c r="F93" s="42" t="s">
        <v>564</v>
      </c>
      <c r="G93" s="42" t="s">
        <v>611</v>
      </c>
      <c r="H93" s="76">
        <v>1</v>
      </c>
      <c r="I93" s="5"/>
      <c r="J93" s="5"/>
      <c r="K93" s="5"/>
      <c r="L93" s="5"/>
      <c r="M93" s="5"/>
      <c r="N93" s="5"/>
      <c r="O93" s="5"/>
      <c r="P93" s="5"/>
      <c r="Q93" s="5"/>
      <c r="R93" s="5"/>
    </row>
    <row r="94" spans="1:18" s="1" customFormat="1" x14ac:dyDescent="0.25">
      <c r="A94" s="27"/>
      <c r="B94" s="5"/>
      <c r="C94" s="5"/>
      <c r="D94" s="42" t="s">
        <v>613</v>
      </c>
      <c r="E94" s="42" t="s">
        <v>211</v>
      </c>
      <c r="F94" s="42" t="s">
        <v>564</v>
      </c>
      <c r="G94" s="42" t="s">
        <v>611</v>
      </c>
      <c r="H94" s="42"/>
      <c r="I94" s="5"/>
      <c r="J94" s="5"/>
      <c r="K94" s="5"/>
      <c r="L94" s="5"/>
      <c r="M94" s="5"/>
      <c r="N94" s="5"/>
      <c r="O94" s="5"/>
      <c r="P94" s="5"/>
      <c r="Q94" s="5"/>
      <c r="R94" s="5"/>
    </row>
    <row r="95" spans="1:18" s="1" customFormat="1" x14ac:dyDescent="0.25">
      <c r="A95" s="27"/>
      <c r="B95" s="5"/>
      <c r="C95" s="5"/>
      <c r="D95" s="42" t="s">
        <v>825</v>
      </c>
      <c r="E95" s="42" t="s">
        <v>5</v>
      </c>
      <c r="F95" s="42" t="s">
        <v>564</v>
      </c>
      <c r="G95" s="42" t="s">
        <v>818</v>
      </c>
      <c r="H95" s="42"/>
      <c r="I95" s="5"/>
      <c r="J95" s="5"/>
      <c r="K95" s="5"/>
      <c r="L95" s="5"/>
      <c r="M95" s="5"/>
      <c r="N95" s="5"/>
      <c r="O95" s="5"/>
      <c r="P95" s="5"/>
      <c r="Q95" s="5"/>
      <c r="R95" s="5"/>
    </row>
    <row r="96" spans="1:18" s="1" customFormat="1" x14ac:dyDescent="0.25">
      <c r="A96" s="27"/>
      <c r="B96" s="5"/>
      <c r="C96" s="5"/>
      <c r="D96" s="42" t="s">
        <v>826</v>
      </c>
      <c r="E96" s="42" t="s">
        <v>4</v>
      </c>
      <c r="F96" s="42" t="s">
        <v>822</v>
      </c>
      <c r="G96" s="42" t="s">
        <v>824</v>
      </c>
      <c r="H96" s="42" t="s">
        <v>702</v>
      </c>
      <c r="I96" s="5"/>
      <c r="J96" s="5"/>
      <c r="K96" s="5"/>
      <c r="L96" s="5"/>
      <c r="M96" s="5"/>
      <c r="N96" s="5"/>
      <c r="O96" s="5"/>
      <c r="P96" s="5"/>
      <c r="Q96" s="5"/>
      <c r="R96" s="5"/>
    </row>
    <row r="97" spans="1:18" s="1" customFormat="1" x14ac:dyDescent="0.25">
      <c r="A97" s="27"/>
      <c r="B97" s="5"/>
      <c r="C97" s="5"/>
      <c r="D97" s="42" t="s">
        <v>583</v>
      </c>
      <c r="E97" s="42" t="s">
        <v>212</v>
      </c>
      <c r="F97" s="42" t="s">
        <v>822</v>
      </c>
      <c r="G97" s="42" t="s">
        <v>824</v>
      </c>
      <c r="H97" s="42" t="s">
        <v>213</v>
      </c>
      <c r="I97" s="5"/>
      <c r="J97" s="5"/>
      <c r="K97" s="5"/>
      <c r="L97" s="5"/>
      <c r="M97" s="5"/>
      <c r="N97" s="5"/>
      <c r="O97" s="5"/>
      <c r="P97" s="5"/>
      <c r="Q97" s="5"/>
      <c r="R97" s="5"/>
    </row>
    <row r="98" spans="1:18" s="1" customFormat="1" x14ac:dyDescent="0.25">
      <c r="A98" s="27"/>
      <c r="B98" s="5"/>
      <c r="C98" s="5"/>
      <c r="D98" s="42" t="s">
        <v>966</v>
      </c>
      <c r="E98" s="42" t="s">
        <v>5</v>
      </c>
      <c r="F98" s="42" t="s">
        <v>822</v>
      </c>
      <c r="G98" s="42" t="s">
        <v>967</v>
      </c>
      <c r="H98" s="42"/>
      <c r="I98" s="5"/>
      <c r="J98" s="5"/>
      <c r="K98" s="5"/>
      <c r="L98" s="5"/>
      <c r="M98" s="5"/>
      <c r="N98" s="5"/>
      <c r="O98" s="5"/>
      <c r="P98" s="5"/>
      <c r="Q98" s="5"/>
      <c r="R98" s="5"/>
    </row>
    <row r="99" spans="1:18" s="1" customFormat="1" x14ac:dyDescent="0.25">
      <c r="A99" s="27"/>
      <c r="B99" s="5"/>
      <c r="C99" s="5"/>
      <c r="D99" s="42" t="s">
        <v>829</v>
      </c>
      <c r="E99" s="42" t="s">
        <v>5</v>
      </c>
      <c r="F99" s="42" t="s">
        <v>822</v>
      </c>
      <c r="G99" s="42" t="s">
        <v>828</v>
      </c>
      <c r="H99" s="42"/>
      <c r="I99" s="5"/>
      <c r="J99" s="5"/>
      <c r="K99" s="5"/>
      <c r="L99" s="5"/>
      <c r="M99" s="5"/>
      <c r="N99" s="5"/>
      <c r="O99" s="5"/>
      <c r="P99" s="5"/>
      <c r="Q99" s="5"/>
      <c r="R99" s="5"/>
    </row>
    <row r="100" spans="1:18" s="1" customFormat="1" ht="28" x14ac:dyDescent="0.25">
      <c r="A100" s="27"/>
      <c r="B100" s="5"/>
      <c r="C100" s="5"/>
      <c r="D100" s="42" t="s">
        <v>871</v>
      </c>
      <c r="E100" s="42" t="s">
        <v>5</v>
      </c>
      <c r="F100" s="42" t="s">
        <v>822</v>
      </c>
      <c r="G100" s="42" t="s">
        <v>831</v>
      </c>
      <c r="H100" s="42"/>
      <c r="I100" s="5"/>
      <c r="J100" s="5"/>
      <c r="K100" s="5"/>
      <c r="L100" s="5"/>
      <c r="M100" s="5"/>
      <c r="N100" s="5"/>
      <c r="O100" s="5"/>
      <c r="P100" s="5"/>
      <c r="Q100" s="5"/>
      <c r="R100" s="5"/>
    </row>
    <row r="101" spans="1:18" s="1" customFormat="1" ht="42" x14ac:dyDescent="0.25">
      <c r="A101" s="27"/>
      <c r="B101" s="5"/>
      <c r="C101" s="5"/>
      <c r="D101" s="42" t="s">
        <v>872</v>
      </c>
      <c r="E101" s="42" t="s">
        <v>5</v>
      </c>
      <c r="F101" s="42" t="s">
        <v>822</v>
      </c>
      <c r="G101" s="42" t="s">
        <v>832</v>
      </c>
      <c r="H101" s="42"/>
      <c r="I101" s="5"/>
      <c r="J101" s="5"/>
      <c r="K101" s="5"/>
      <c r="L101" s="5"/>
      <c r="M101" s="5"/>
      <c r="N101" s="5"/>
      <c r="O101" s="5"/>
      <c r="P101" s="5"/>
      <c r="Q101" s="5"/>
      <c r="R101" s="5"/>
    </row>
    <row r="102" spans="1:18" s="1" customFormat="1" x14ac:dyDescent="0.25">
      <c r="A102" s="27">
        <v>0</v>
      </c>
      <c r="B102" s="42" t="s">
        <v>917</v>
      </c>
      <c r="C102" s="42" t="s">
        <v>873</v>
      </c>
      <c r="D102" s="42" t="s">
        <v>882</v>
      </c>
      <c r="E102" s="42" t="s">
        <v>5</v>
      </c>
      <c r="F102" s="42" t="s">
        <v>822</v>
      </c>
      <c r="G102" s="42" t="s">
        <v>875</v>
      </c>
      <c r="H102" s="42"/>
      <c r="I102" s="5"/>
      <c r="J102" s="5"/>
      <c r="K102" s="5"/>
      <c r="L102" s="5"/>
      <c r="M102" s="5"/>
      <c r="N102" s="5"/>
      <c r="O102" s="5"/>
      <c r="P102" s="5"/>
      <c r="Q102" s="5"/>
      <c r="R102" s="5"/>
    </row>
    <row r="103" spans="1:18" s="1" customFormat="1" ht="28" x14ac:dyDescent="0.25">
      <c r="A103" s="27"/>
      <c r="B103" s="5"/>
      <c r="C103" s="5"/>
      <c r="D103" s="42" t="s">
        <v>883</v>
      </c>
      <c r="E103" s="42" t="s">
        <v>5</v>
      </c>
      <c r="F103" s="42" t="s">
        <v>822</v>
      </c>
      <c r="G103" s="42" t="s">
        <v>877</v>
      </c>
      <c r="H103" s="42"/>
      <c r="I103" s="5"/>
      <c r="J103" s="5"/>
      <c r="K103" s="5"/>
      <c r="L103" s="5"/>
      <c r="M103" s="5"/>
      <c r="N103" s="5"/>
      <c r="O103" s="5"/>
      <c r="P103" s="5"/>
      <c r="Q103" s="5"/>
      <c r="R103" s="5"/>
    </row>
    <row r="104" spans="1:18" s="1" customFormat="1" ht="28" x14ac:dyDescent="0.25">
      <c r="A104" s="27"/>
      <c r="B104" s="5"/>
      <c r="C104" s="5"/>
      <c r="D104" s="42" t="s">
        <v>884</v>
      </c>
      <c r="E104" s="42" t="s">
        <v>5</v>
      </c>
      <c r="F104" s="42" t="s">
        <v>822</v>
      </c>
      <c r="G104" s="42" t="s">
        <v>879</v>
      </c>
      <c r="H104" s="42"/>
      <c r="I104" s="5"/>
      <c r="J104" s="5"/>
      <c r="K104" s="5"/>
      <c r="L104" s="5"/>
      <c r="M104" s="5"/>
      <c r="N104" s="5"/>
      <c r="O104" s="5"/>
      <c r="P104" s="5"/>
      <c r="Q104" s="5"/>
      <c r="R104" s="5"/>
    </row>
    <row r="105" spans="1:18" s="1" customFormat="1" ht="28" x14ac:dyDescent="0.25">
      <c r="A105" s="27"/>
      <c r="B105" s="5"/>
      <c r="C105" s="5"/>
      <c r="D105" s="42" t="s">
        <v>905</v>
      </c>
      <c r="E105" s="42" t="s">
        <v>5</v>
      </c>
      <c r="F105" s="42" t="s">
        <v>822</v>
      </c>
      <c r="G105" s="42" t="s">
        <v>880</v>
      </c>
      <c r="H105" s="42"/>
      <c r="I105" s="5"/>
      <c r="J105" s="5"/>
      <c r="K105" s="5"/>
      <c r="L105" s="5"/>
      <c r="M105" s="5"/>
      <c r="N105" s="5"/>
      <c r="O105" s="5"/>
      <c r="P105" s="5"/>
      <c r="Q105" s="5"/>
      <c r="R105" s="5"/>
    </row>
    <row r="106" spans="1:18" s="1" customFormat="1" ht="28" x14ac:dyDescent="0.25">
      <c r="A106" s="27"/>
      <c r="B106" s="5"/>
      <c r="C106" s="5"/>
      <c r="D106" s="42" t="s">
        <v>906</v>
      </c>
      <c r="E106" s="42" t="s">
        <v>5</v>
      </c>
      <c r="F106" s="42" t="s">
        <v>822</v>
      </c>
      <c r="G106" s="42" t="s">
        <v>886</v>
      </c>
      <c r="H106" s="42"/>
      <c r="I106" s="5"/>
      <c r="J106" s="5"/>
      <c r="K106" s="5"/>
      <c r="L106" s="5"/>
      <c r="M106" s="5"/>
      <c r="N106" s="5"/>
      <c r="O106" s="5"/>
      <c r="P106" s="5"/>
      <c r="Q106" s="5"/>
      <c r="R106" s="5"/>
    </row>
    <row r="107" spans="1:18" s="1" customFormat="1" ht="28" x14ac:dyDescent="0.25">
      <c r="A107" s="27"/>
      <c r="B107" s="5"/>
      <c r="C107" s="5"/>
      <c r="D107" s="42" t="s">
        <v>893</v>
      </c>
      <c r="E107" s="42" t="s">
        <v>5</v>
      </c>
      <c r="F107" s="42" t="s">
        <v>822</v>
      </c>
      <c r="G107" s="42" t="s">
        <v>894</v>
      </c>
      <c r="H107" s="42"/>
      <c r="I107" s="5"/>
      <c r="J107" s="5"/>
      <c r="K107" s="5"/>
      <c r="L107" s="5"/>
      <c r="M107" s="5"/>
      <c r="N107" s="5"/>
      <c r="O107" s="5"/>
      <c r="P107" s="5"/>
      <c r="Q107" s="5"/>
      <c r="R107" s="5"/>
    </row>
    <row r="108" spans="1:18" s="1" customFormat="1" ht="28" x14ac:dyDescent="0.25">
      <c r="A108" s="27"/>
      <c r="B108" s="5"/>
      <c r="C108" s="5"/>
      <c r="D108" s="42" t="s">
        <v>895</v>
      </c>
      <c r="E108" s="42" t="s">
        <v>5</v>
      </c>
      <c r="F108" s="42" t="s">
        <v>822</v>
      </c>
      <c r="G108" s="42" t="s">
        <v>892</v>
      </c>
      <c r="H108" s="42"/>
      <c r="I108" s="5"/>
      <c r="J108" s="5"/>
      <c r="K108" s="5"/>
      <c r="L108" s="5"/>
      <c r="M108" s="5"/>
      <c r="N108" s="5"/>
      <c r="O108" s="5"/>
      <c r="P108" s="5"/>
      <c r="Q108" s="5"/>
      <c r="R108" s="5"/>
    </row>
    <row r="109" spans="1:18" s="1" customFormat="1" x14ac:dyDescent="0.25">
      <c r="A109" s="27"/>
      <c r="B109" s="5"/>
      <c r="C109" s="5"/>
      <c r="D109" s="42" t="s">
        <v>581</v>
      </c>
      <c r="E109" s="42" t="s">
        <v>4</v>
      </c>
      <c r="F109" s="42" t="s">
        <v>564</v>
      </c>
      <c r="G109" s="42" t="s">
        <v>582</v>
      </c>
      <c r="H109" s="42" t="s">
        <v>654</v>
      </c>
      <c r="I109" s="5"/>
      <c r="J109" s="5"/>
      <c r="K109" s="5"/>
      <c r="L109" s="5"/>
      <c r="M109" s="5"/>
      <c r="N109" s="5"/>
      <c r="O109" s="5"/>
      <c r="P109" s="5"/>
      <c r="Q109" s="5"/>
      <c r="R109" s="5"/>
    </row>
    <row r="110" spans="1:18" s="1" customFormat="1" x14ac:dyDescent="0.25">
      <c r="A110" s="27"/>
      <c r="B110" s="5"/>
      <c r="C110" s="5"/>
      <c r="D110" s="42" t="s">
        <v>583</v>
      </c>
      <c r="E110" s="42" t="s">
        <v>212</v>
      </c>
      <c r="F110" s="42" t="s">
        <v>564</v>
      </c>
      <c r="G110" s="42" t="s">
        <v>582</v>
      </c>
      <c r="H110" s="42" t="s">
        <v>213</v>
      </c>
      <c r="I110" s="5"/>
      <c r="J110" s="5"/>
      <c r="K110" s="5"/>
      <c r="L110" s="5"/>
      <c r="M110" s="5"/>
      <c r="N110" s="5"/>
      <c r="O110" s="5"/>
      <c r="P110" s="5"/>
      <c r="Q110" s="5"/>
      <c r="R110" s="5"/>
    </row>
    <row r="111" spans="1:18" s="1" customFormat="1" x14ac:dyDescent="0.25">
      <c r="A111" s="27"/>
      <c r="B111" s="5"/>
      <c r="C111" s="5"/>
      <c r="D111" s="42" t="s">
        <v>610</v>
      </c>
      <c r="E111" s="42" t="s">
        <v>5</v>
      </c>
      <c r="F111" s="42" t="s">
        <v>564</v>
      </c>
      <c r="G111" s="42" t="s">
        <v>585</v>
      </c>
      <c r="H111" s="42"/>
      <c r="I111" s="5"/>
      <c r="J111" s="5"/>
      <c r="K111" s="5"/>
      <c r="L111" s="5"/>
      <c r="M111" s="5"/>
      <c r="N111" s="5"/>
      <c r="O111" s="5"/>
      <c r="P111" s="5"/>
      <c r="Q111" s="5"/>
      <c r="R111" s="5"/>
    </row>
    <row r="112" spans="1:18" s="1" customFormat="1" x14ac:dyDescent="0.25">
      <c r="A112" s="27"/>
      <c r="B112" s="5"/>
      <c r="C112" s="5"/>
      <c r="D112" s="42" t="s">
        <v>563</v>
      </c>
      <c r="E112" s="42" t="s">
        <v>5</v>
      </c>
      <c r="F112" s="42" t="s">
        <v>564</v>
      </c>
      <c r="G112" s="42" t="s">
        <v>586</v>
      </c>
      <c r="I112" s="5"/>
      <c r="J112" s="5"/>
      <c r="K112" s="5"/>
      <c r="L112" s="5"/>
      <c r="M112" s="5"/>
      <c r="N112" s="5"/>
      <c r="O112" s="5"/>
      <c r="P112" s="5"/>
      <c r="Q112" s="5"/>
      <c r="R112" s="5"/>
    </row>
    <row r="113" spans="1:18" s="1" customFormat="1" x14ac:dyDescent="0.25">
      <c r="A113" s="27"/>
      <c r="B113" s="5"/>
      <c r="C113" s="5"/>
      <c r="D113" s="42" t="s">
        <v>971</v>
      </c>
      <c r="E113" s="42" t="s">
        <v>5</v>
      </c>
      <c r="F113" s="42" t="s">
        <v>822</v>
      </c>
      <c r="G113" s="42" t="s">
        <v>970</v>
      </c>
      <c r="I113" s="5"/>
      <c r="J113" s="5"/>
      <c r="K113" s="5"/>
      <c r="L113" s="5"/>
      <c r="M113" s="5"/>
      <c r="N113" s="5"/>
      <c r="O113" s="5"/>
      <c r="P113" s="5"/>
      <c r="Q113" s="5"/>
      <c r="R113" s="5"/>
    </row>
    <row r="114" spans="1:18" s="1" customFormat="1" ht="28" x14ac:dyDescent="0.25">
      <c r="A114" s="27"/>
      <c r="B114" s="5"/>
      <c r="C114" s="5"/>
      <c r="D114" s="42" t="s">
        <v>899</v>
      </c>
      <c r="E114" s="42" t="s">
        <v>5</v>
      </c>
      <c r="F114" s="42" t="s">
        <v>822</v>
      </c>
      <c r="G114" s="42" t="s">
        <v>898</v>
      </c>
      <c r="I114" s="5"/>
      <c r="J114" s="5"/>
      <c r="K114" s="5"/>
      <c r="L114" s="5"/>
      <c r="M114" s="5"/>
      <c r="N114" s="5"/>
      <c r="O114" s="5"/>
      <c r="P114" s="5"/>
      <c r="Q114" s="5"/>
      <c r="R114" s="5"/>
    </row>
    <row r="115" spans="1:18" s="1" customFormat="1" ht="28" x14ac:dyDescent="0.25">
      <c r="A115" s="27"/>
      <c r="B115" s="5"/>
      <c r="C115" s="5"/>
      <c r="D115" s="42" t="s">
        <v>909</v>
      </c>
      <c r="E115" s="42" t="s">
        <v>5</v>
      </c>
      <c r="F115" s="42" t="s">
        <v>822</v>
      </c>
      <c r="G115" s="42" t="s">
        <v>887</v>
      </c>
      <c r="H115" s="42"/>
      <c r="I115" s="5"/>
      <c r="J115" s="5"/>
      <c r="K115" s="5"/>
      <c r="L115" s="5"/>
      <c r="M115" s="5"/>
      <c r="N115" s="5"/>
      <c r="O115" s="5"/>
      <c r="P115" s="5"/>
      <c r="Q115" s="5"/>
      <c r="R115" s="5"/>
    </row>
    <row r="116" spans="1:18" s="1" customFormat="1" ht="28" x14ac:dyDescent="0.25">
      <c r="A116" s="27"/>
      <c r="B116" s="5"/>
      <c r="C116" s="5"/>
      <c r="D116" s="42" t="s">
        <v>893</v>
      </c>
      <c r="E116" s="42" t="s">
        <v>5</v>
      </c>
      <c r="F116" s="42" t="s">
        <v>822</v>
      </c>
      <c r="G116" s="42" t="s">
        <v>894</v>
      </c>
      <c r="H116" s="42"/>
      <c r="I116" s="5"/>
      <c r="J116" s="5"/>
      <c r="K116" s="5"/>
      <c r="L116" s="5"/>
      <c r="M116" s="5"/>
      <c r="N116" s="5"/>
      <c r="O116" s="5"/>
      <c r="P116" s="5"/>
      <c r="Q116" s="5"/>
      <c r="R116" s="5"/>
    </row>
    <row r="117" spans="1:18" s="1" customFormat="1" ht="28" x14ac:dyDescent="0.25">
      <c r="A117" s="27"/>
      <c r="B117" s="5"/>
      <c r="C117" s="5"/>
      <c r="D117" s="42" t="s">
        <v>895</v>
      </c>
      <c r="E117" s="42" t="s">
        <v>5</v>
      </c>
      <c r="F117" s="42" t="s">
        <v>822</v>
      </c>
      <c r="G117" s="42" t="s">
        <v>892</v>
      </c>
      <c r="H117" s="42"/>
      <c r="I117" s="5"/>
      <c r="J117" s="5"/>
      <c r="K117" s="5"/>
      <c r="L117" s="5"/>
      <c r="M117" s="5"/>
      <c r="N117" s="5"/>
      <c r="O117" s="5"/>
      <c r="P117" s="5"/>
      <c r="Q117" s="5"/>
      <c r="R117" s="5"/>
    </row>
    <row r="118" spans="1:18" s="1" customFormat="1" x14ac:dyDescent="0.25">
      <c r="A118" s="27"/>
      <c r="B118" s="5"/>
      <c r="C118" s="5"/>
      <c r="D118" s="42" t="s">
        <v>581</v>
      </c>
      <c r="E118" s="42" t="s">
        <v>4</v>
      </c>
      <c r="F118" s="42" t="s">
        <v>564</v>
      </c>
      <c r="G118" s="42" t="s">
        <v>582</v>
      </c>
      <c r="H118" s="42" t="s">
        <v>654</v>
      </c>
      <c r="I118" s="5"/>
      <c r="J118" s="5"/>
      <c r="K118" s="5"/>
      <c r="L118" s="5"/>
      <c r="M118" s="5"/>
      <c r="N118" s="5"/>
      <c r="O118" s="5"/>
      <c r="P118" s="5"/>
      <c r="Q118" s="5"/>
      <c r="R118" s="5"/>
    </row>
    <row r="119" spans="1:18" s="1" customFormat="1" x14ac:dyDescent="0.25">
      <c r="A119" s="27"/>
      <c r="B119" s="5"/>
      <c r="C119" s="5"/>
      <c r="D119" s="42" t="s">
        <v>583</v>
      </c>
      <c r="E119" s="42" t="s">
        <v>212</v>
      </c>
      <c r="F119" s="42" t="s">
        <v>564</v>
      </c>
      <c r="G119" s="42" t="s">
        <v>582</v>
      </c>
      <c r="H119" s="42" t="s">
        <v>213</v>
      </c>
      <c r="I119" s="5"/>
      <c r="J119" s="5"/>
      <c r="K119" s="5"/>
      <c r="L119" s="5"/>
      <c r="M119" s="5"/>
      <c r="N119" s="5"/>
      <c r="O119" s="5"/>
      <c r="P119" s="5"/>
      <c r="Q119" s="5"/>
      <c r="R119" s="5"/>
    </row>
    <row r="120" spans="1:18" s="1" customFormat="1" x14ac:dyDescent="0.25">
      <c r="A120" s="27"/>
      <c r="B120" s="5"/>
      <c r="C120" s="5"/>
      <c r="D120" s="42" t="s">
        <v>610</v>
      </c>
      <c r="E120" s="42" t="s">
        <v>5</v>
      </c>
      <c r="F120" s="42" t="s">
        <v>564</v>
      </c>
      <c r="G120" s="42" t="s">
        <v>585</v>
      </c>
      <c r="H120" s="42"/>
      <c r="I120" s="5"/>
      <c r="J120" s="5"/>
      <c r="K120" s="5"/>
      <c r="L120" s="5"/>
      <c r="M120" s="5"/>
      <c r="N120" s="5"/>
      <c r="O120" s="5"/>
      <c r="P120" s="5"/>
      <c r="Q120" s="5"/>
      <c r="R120" s="5"/>
    </row>
    <row r="121" spans="1:18" s="1" customFormat="1" x14ac:dyDescent="0.25">
      <c r="A121" s="27"/>
      <c r="B121" s="5"/>
      <c r="C121" s="5"/>
      <c r="D121" s="42" t="s">
        <v>563</v>
      </c>
      <c r="E121" s="42" t="s">
        <v>5</v>
      </c>
      <c r="F121" s="42" t="s">
        <v>564</v>
      </c>
      <c r="G121" s="42" t="s">
        <v>586</v>
      </c>
      <c r="I121" s="5"/>
      <c r="J121" s="5"/>
      <c r="K121" s="5"/>
      <c r="L121" s="5"/>
      <c r="M121" s="5"/>
      <c r="N121" s="5"/>
      <c r="O121" s="5"/>
      <c r="P121" s="5"/>
      <c r="Q121" s="5"/>
      <c r="R121" s="5"/>
    </row>
    <row r="122" spans="1:18" s="1" customFormat="1" x14ac:dyDescent="0.25">
      <c r="A122" s="27"/>
      <c r="B122" s="5"/>
      <c r="C122" s="5"/>
      <c r="D122" s="42" t="s">
        <v>971</v>
      </c>
      <c r="E122" s="42" t="s">
        <v>5</v>
      </c>
      <c r="F122" s="42" t="s">
        <v>822</v>
      </c>
      <c r="G122" s="42" t="s">
        <v>970</v>
      </c>
      <c r="I122" s="5"/>
      <c r="J122" s="5"/>
      <c r="K122" s="5"/>
      <c r="L122" s="5"/>
      <c r="M122" s="5"/>
      <c r="N122" s="5"/>
      <c r="O122" s="5"/>
      <c r="P122" s="5"/>
      <c r="Q122" s="5"/>
      <c r="R122" s="5"/>
    </row>
    <row r="123" spans="1:18" s="1" customFormat="1" ht="28" x14ac:dyDescent="0.25">
      <c r="A123" s="27"/>
      <c r="B123" s="5"/>
      <c r="C123" s="5"/>
      <c r="D123" s="42" t="s">
        <v>899</v>
      </c>
      <c r="E123" s="42" t="s">
        <v>5</v>
      </c>
      <c r="F123" s="42" t="s">
        <v>822</v>
      </c>
      <c r="G123" s="42" t="s">
        <v>898</v>
      </c>
      <c r="I123" s="5"/>
      <c r="J123" s="5"/>
      <c r="K123" s="5"/>
      <c r="L123" s="5"/>
      <c r="M123" s="5"/>
      <c r="N123" s="5"/>
      <c r="O123" s="5"/>
      <c r="P123" s="5"/>
      <c r="Q123" s="5"/>
      <c r="R123" s="5"/>
    </row>
    <row r="124" spans="1:18" s="1" customFormat="1" ht="28" x14ac:dyDescent="0.25">
      <c r="A124" s="27"/>
      <c r="B124" s="5"/>
      <c r="C124" s="5"/>
      <c r="D124" s="42" t="s">
        <v>908</v>
      </c>
      <c r="E124" s="42" t="s">
        <v>5</v>
      </c>
      <c r="F124" s="42" t="s">
        <v>822</v>
      </c>
      <c r="G124" s="42" t="s">
        <v>888</v>
      </c>
      <c r="H124" s="42"/>
      <c r="I124" s="5"/>
      <c r="J124" s="5"/>
      <c r="K124" s="5"/>
      <c r="L124" s="5"/>
      <c r="M124" s="5"/>
      <c r="N124" s="5"/>
      <c r="O124" s="5"/>
      <c r="P124" s="5"/>
      <c r="Q124" s="5"/>
      <c r="R124" s="5"/>
    </row>
    <row r="125" spans="1:18" s="1" customFormat="1" ht="28" x14ac:dyDescent="0.25">
      <c r="A125" s="27"/>
      <c r="B125" s="5"/>
      <c r="C125" s="5"/>
      <c r="D125" s="42" t="s">
        <v>893</v>
      </c>
      <c r="E125" s="42" t="s">
        <v>5</v>
      </c>
      <c r="F125" s="42" t="s">
        <v>822</v>
      </c>
      <c r="G125" s="42" t="s">
        <v>894</v>
      </c>
      <c r="H125" s="42"/>
      <c r="I125" s="5"/>
      <c r="J125" s="5"/>
      <c r="K125" s="5"/>
      <c r="L125" s="5"/>
      <c r="M125" s="5"/>
      <c r="N125" s="5"/>
      <c r="O125" s="5"/>
      <c r="P125" s="5"/>
      <c r="Q125" s="5"/>
      <c r="R125" s="5"/>
    </row>
    <row r="126" spans="1:18" s="1" customFormat="1" ht="28" x14ac:dyDescent="0.25">
      <c r="A126" s="27"/>
      <c r="B126" s="5"/>
      <c r="C126" s="5"/>
      <c r="D126" s="42" t="s">
        <v>895</v>
      </c>
      <c r="E126" s="42" t="s">
        <v>5</v>
      </c>
      <c r="F126" s="42" t="s">
        <v>822</v>
      </c>
      <c r="G126" s="42" t="s">
        <v>892</v>
      </c>
      <c r="H126" s="42"/>
      <c r="I126" s="5"/>
      <c r="J126" s="5"/>
      <c r="K126" s="5"/>
      <c r="L126" s="5"/>
      <c r="M126" s="5"/>
      <c r="N126" s="5"/>
      <c r="O126" s="5"/>
      <c r="P126" s="5"/>
      <c r="Q126" s="5"/>
      <c r="R126" s="5"/>
    </row>
    <row r="127" spans="1:18" s="1" customFormat="1" x14ac:dyDescent="0.25">
      <c r="A127" s="27"/>
      <c r="B127" s="5"/>
      <c r="C127" s="5"/>
      <c r="D127" s="42" t="s">
        <v>581</v>
      </c>
      <c r="E127" s="42" t="s">
        <v>4</v>
      </c>
      <c r="F127" s="42" t="s">
        <v>564</v>
      </c>
      <c r="G127" s="42" t="s">
        <v>582</v>
      </c>
      <c r="H127" s="42" t="s">
        <v>654</v>
      </c>
      <c r="I127" s="5"/>
      <c r="J127" s="5"/>
      <c r="K127" s="5"/>
      <c r="L127" s="5"/>
      <c r="M127" s="5"/>
      <c r="N127" s="5"/>
      <c r="O127" s="5"/>
      <c r="P127" s="5"/>
      <c r="Q127" s="5"/>
      <c r="R127" s="5"/>
    </row>
    <row r="128" spans="1:18" s="1" customFormat="1" x14ac:dyDescent="0.25">
      <c r="A128" s="27"/>
      <c r="B128" s="5"/>
      <c r="C128" s="5"/>
      <c r="D128" s="42" t="s">
        <v>583</v>
      </c>
      <c r="E128" s="42" t="s">
        <v>212</v>
      </c>
      <c r="F128" s="42" t="s">
        <v>564</v>
      </c>
      <c r="G128" s="42" t="s">
        <v>582</v>
      </c>
      <c r="H128" s="42" t="s">
        <v>213</v>
      </c>
      <c r="I128" s="5"/>
      <c r="J128" s="5"/>
      <c r="K128" s="5"/>
      <c r="L128" s="5"/>
      <c r="M128" s="5"/>
      <c r="N128" s="5"/>
      <c r="O128" s="5"/>
      <c r="P128" s="5"/>
      <c r="Q128" s="5"/>
      <c r="R128" s="5"/>
    </row>
    <row r="129" spans="1:18" s="1" customFormat="1" x14ac:dyDescent="0.25">
      <c r="A129" s="27"/>
      <c r="B129" s="5"/>
      <c r="C129" s="5"/>
      <c r="D129" s="42" t="s">
        <v>610</v>
      </c>
      <c r="E129" s="42" t="s">
        <v>5</v>
      </c>
      <c r="F129" s="42" t="s">
        <v>564</v>
      </c>
      <c r="G129" s="42" t="s">
        <v>585</v>
      </c>
      <c r="H129" s="42"/>
      <c r="I129" s="5"/>
      <c r="J129" s="5"/>
      <c r="K129" s="5"/>
      <c r="L129" s="5"/>
      <c r="M129" s="5"/>
      <c r="N129" s="5"/>
      <c r="O129" s="5"/>
      <c r="P129" s="5"/>
      <c r="Q129" s="5"/>
      <c r="R129" s="5"/>
    </row>
    <row r="130" spans="1:18" s="1" customFormat="1" x14ac:dyDescent="0.25">
      <c r="A130" s="27"/>
      <c r="B130" s="5"/>
      <c r="C130" s="5"/>
      <c r="D130" s="42" t="s">
        <v>563</v>
      </c>
      <c r="E130" s="42" t="s">
        <v>5</v>
      </c>
      <c r="F130" s="42" t="s">
        <v>564</v>
      </c>
      <c r="G130" s="42" t="s">
        <v>586</v>
      </c>
      <c r="I130" s="5"/>
      <c r="J130" s="5"/>
      <c r="K130" s="5"/>
      <c r="L130" s="5"/>
      <c r="M130" s="5"/>
      <c r="N130" s="5"/>
      <c r="O130" s="5"/>
      <c r="P130" s="5"/>
      <c r="Q130" s="5"/>
      <c r="R130" s="5"/>
    </row>
    <row r="131" spans="1:18" s="1" customFormat="1" x14ac:dyDescent="0.25">
      <c r="A131" s="27"/>
      <c r="B131" s="5"/>
      <c r="C131" s="5"/>
      <c r="D131" s="42" t="s">
        <v>971</v>
      </c>
      <c r="E131" s="42" t="s">
        <v>5</v>
      </c>
      <c r="F131" s="42" t="s">
        <v>822</v>
      </c>
      <c r="G131" s="42" t="s">
        <v>970</v>
      </c>
      <c r="I131" s="5"/>
      <c r="J131" s="5"/>
      <c r="K131" s="5"/>
      <c r="L131" s="5"/>
      <c r="M131" s="5"/>
      <c r="N131" s="5"/>
      <c r="O131" s="5"/>
      <c r="P131" s="5"/>
      <c r="Q131" s="5"/>
      <c r="R131" s="5"/>
    </row>
    <row r="132" spans="1:18" s="1" customFormat="1" ht="28" x14ac:dyDescent="0.25">
      <c r="A132" s="27"/>
      <c r="B132" s="5"/>
      <c r="C132" s="5"/>
      <c r="D132" s="42" t="s">
        <v>899</v>
      </c>
      <c r="E132" s="42" t="s">
        <v>5</v>
      </c>
      <c r="F132" s="42" t="s">
        <v>822</v>
      </c>
      <c r="G132" s="42" t="s">
        <v>898</v>
      </c>
      <c r="I132" s="5"/>
      <c r="J132" s="5"/>
      <c r="K132" s="5"/>
      <c r="L132" s="5"/>
      <c r="M132" s="5"/>
      <c r="N132" s="5"/>
      <c r="O132" s="5"/>
      <c r="P132" s="5"/>
      <c r="Q132" s="5"/>
      <c r="R132" s="5"/>
    </row>
    <row r="133" spans="1:18" s="1" customFormat="1" ht="28" x14ac:dyDescent="0.25">
      <c r="A133" s="27"/>
      <c r="B133" s="5"/>
      <c r="C133" s="5"/>
      <c r="D133" s="42" t="s">
        <v>907</v>
      </c>
      <c r="E133" s="42" t="s">
        <v>5</v>
      </c>
      <c r="F133" s="42" t="s">
        <v>822</v>
      </c>
      <c r="G133" s="42" t="s">
        <v>889</v>
      </c>
      <c r="H133" s="42"/>
      <c r="I133" s="5"/>
      <c r="J133" s="5"/>
      <c r="K133" s="5"/>
      <c r="L133" s="5"/>
      <c r="M133" s="5"/>
      <c r="N133" s="5"/>
      <c r="O133" s="5"/>
      <c r="P133" s="5"/>
      <c r="Q133" s="5"/>
      <c r="R133" s="5"/>
    </row>
    <row r="134" spans="1:18" s="1" customFormat="1" ht="28" x14ac:dyDescent="0.25">
      <c r="A134" s="27"/>
      <c r="B134" s="5"/>
      <c r="C134" s="5"/>
      <c r="D134" s="42" t="s">
        <v>893</v>
      </c>
      <c r="E134" s="42" t="s">
        <v>5</v>
      </c>
      <c r="F134" s="42" t="s">
        <v>822</v>
      </c>
      <c r="G134" s="42" t="s">
        <v>894</v>
      </c>
      <c r="H134" s="42"/>
      <c r="I134" s="5"/>
      <c r="J134" s="5"/>
      <c r="K134" s="5"/>
      <c r="L134" s="5"/>
      <c r="M134" s="5"/>
      <c r="N134" s="5"/>
      <c r="O134" s="5"/>
      <c r="P134" s="5"/>
      <c r="Q134" s="5"/>
      <c r="R134" s="5"/>
    </row>
    <row r="135" spans="1:18" s="1" customFormat="1" ht="28" x14ac:dyDescent="0.25">
      <c r="A135" s="27"/>
      <c r="B135" s="5"/>
      <c r="C135" s="5"/>
      <c r="D135" s="42" t="s">
        <v>895</v>
      </c>
      <c r="E135" s="42" t="s">
        <v>5</v>
      </c>
      <c r="F135" s="42" t="s">
        <v>822</v>
      </c>
      <c r="G135" s="42" t="s">
        <v>892</v>
      </c>
      <c r="H135" s="42"/>
      <c r="I135" s="5"/>
      <c r="J135" s="5"/>
      <c r="K135" s="5"/>
      <c r="L135" s="5"/>
      <c r="M135" s="5"/>
      <c r="N135" s="5"/>
      <c r="O135" s="5"/>
      <c r="P135" s="5"/>
      <c r="Q135" s="5"/>
      <c r="R135" s="5"/>
    </row>
    <row r="136" spans="1:18" s="1" customFormat="1" x14ac:dyDescent="0.25">
      <c r="A136" s="27"/>
      <c r="B136" s="5"/>
      <c r="C136" s="5"/>
      <c r="D136" s="42" t="s">
        <v>581</v>
      </c>
      <c r="E136" s="42" t="s">
        <v>4</v>
      </c>
      <c r="F136" s="42" t="s">
        <v>564</v>
      </c>
      <c r="G136" s="42" t="s">
        <v>582</v>
      </c>
      <c r="H136" s="42" t="s">
        <v>654</v>
      </c>
      <c r="I136" s="5"/>
      <c r="J136" s="5"/>
      <c r="K136" s="5"/>
      <c r="L136" s="5"/>
      <c r="M136" s="5"/>
      <c r="N136" s="5"/>
      <c r="O136" s="5"/>
      <c r="P136" s="5"/>
      <c r="Q136" s="5"/>
      <c r="R136" s="5"/>
    </row>
    <row r="137" spans="1:18" s="1" customFormat="1" x14ac:dyDescent="0.25">
      <c r="A137" s="27"/>
      <c r="B137" s="5"/>
      <c r="C137" s="5"/>
      <c r="D137" s="42" t="s">
        <v>583</v>
      </c>
      <c r="E137" s="42" t="s">
        <v>212</v>
      </c>
      <c r="F137" s="42" t="s">
        <v>564</v>
      </c>
      <c r="G137" s="42" t="s">
        <v>582</v>
      </c>
      <c r="H137" s="42" t="s">
        <v>213</v>
      </c>
      <c r="I137" s="5"/>
      <c r="J137" s="5"/>
      <c r="K137" s="5"/>
      <c r="L137" s="5"/>
      <c r="M137" s="5"/>
      <c r="N137" s="5"/>
      <c r="O137" s="5"/>
      <c r="P137" s="5"/>
      <c r="Q137" s="5"/>
      <c r="R137" s="5"/>
    </row>
    <row r="138" spans="1:18" s="1" customFormat="1" x14ac:dyDescent="0.25">
      <c r="A138" s="27"/>
      <c r="B138" s="5"/>
      <c r="C138" s="5"/>
      <c r="D138" s="42" t="s">
        <v>610</v>
      </c>
      <c r="E138" s="42" t="s">
        <v>5</v>
      </c>
      <c r="F138" s="42" t="s">
        <v>564</v>
      </c>
      <c r="G138" s="42" t="s">
        <v>585</v>
      </c>
      <c r="H138" s="42"/>
      <c r="I138" s="5"/>
      <c r="J138" s="5"/>
      <c r="K138" s="5"/>
      <c r="L138" s="5"/>
      <c r="M138" s="5"/>
      <c r="N138" s="5"/>
      <c r="O138" s="5"/>
      <c r="P138" s="5"/>
      <c r="Q138" s="5"/>
      <c r="R138" s="5"/>
    </row>
    <row r="139" spans="1:18" s="1" customFormat="1" x14ac:dyDescent="0.25">
      <c r="A139" s="27"/>
      <c r="B139" s="5"/>
      <c r="C139" s="5"/>
      <c r="D139" s="42" t="s">
        <v>563</v>
      </c>
      <c r="E139" s="42" t="s">
        <v>5</v>
      </c>
      <c r="F139" s="42" t="s">
        <v>564</v>
      </c>
      <c r="G139" s="42" t="s">
        <v>586</v>
      </c>
      <c r="I139" s="5"/>
      <c r="J139" s="5"/>
      <c r="K139" s="5"/>
      <c r="L139" s="5"/>
      <c r="M139" s="5"/>
      <c r="N139" s="5"/>
      <c r="O139" s="5"/>
      <c r="P139" s="5"/>
      <c r="Q139" s="5"/>
      <c r="R139" s="5"/>
    </row>
    <row r="140" spans="1:18" s="1" customFormat="1" x14ac:dyDescent="0.25">
      <c r="A140" s="27"/>
      <c r="B140" s="5"/>
      <c r="C140" s="5"/>
      <c r="D140" s="42" t="s">
        <v>971</v>
      </c>
      <c r="E140" s="42" t="s">
        <v>5</v>
      </c>
      <c r="F140" s="42" t="s">
        <v>822</v>
      </c>
      <c r="G140" s="42" t="s">
        <v>970</v>
      </c>
      <c r="I140" s="5"/>
      <c r="J140" s="5"/>
      <c r="K140" s="5"/>
      <c r="L140" s="5"/>
      <c r="M140" s="5"/>
      <c r="N140" s="5"/>
      <c r="O140" s="5"/>
      <c r="P140" s="5"/>
      <c r="Q140" s="5"/>
      <c r="R140" s="5"/>
    </row>
    <row r="141" spans="1:18" s="1" customFormat="1" ht="28" x14ac:dyDescent="0.25">
      <c r="A141" s="27"/>
      <c r="B141" s="5"/>
      <c r="C141" s="5"/>
      <c r="D141" s="42" t="s">
        <v>899</v>
      </c>
      <c r="E141" s="42" t="s">
        <v>5</v>
      </c>
      <c r="F141" s="42" t="s">
        <v>822</v>
      </c>
      <c r="G141" s="42" t="s">
        <v>898</v>
      </c>
      <c r="I141" s="5"/>
      <c r="J141" s="5"/>
      <c r="K141" s="5"/>
      <c r="L141" s="5"/>
      <c r="M141" s="5"/>
      <c r="N141" s="5"/>
      <c r="O141" s="5"/>
      <c r="P141" s="5"/>
      <c r="Q141" s="5"/>
      <c r="R141" s="5"/>
    </row>
    <row r="142" spans="1:18" s="1" customFormat="1" ht="28" x14ac:dyDescent="0.25">
      <c r="A142" s="27">
        <v>0</v>
      </c>
      <c r="B142" s="42" t="s">
        <v>916</v>
      </c>
      <c r="C142" s="42" t="s">
        <v>896</v>
      </c>
      <c r="D142" s="42" t="s">
        <v>562</v>
      </c>
      <c r="E142" s="42" t="s">
        <v>15</v>
      </c>
      <c r="F142" s="42" t="s">
        <v>564</v>
      </c>
      <c r="G142" s="42"/>
      <c r="H142" s="76" t="s">
        <v>949</v>
      </c>
      <c r="I142" s="5"/>
      <c r="J142" s="5"/>
      <c r="K142" s="5"/>
      <c r="L142" s="5"/>
      <c r="M142" s="5"/>
      <c r="N142" s="5"/>
      <c r="O142" s="5"/>
      <c r="P142" s="5"/>
      <c r="Q142" s="5"/>
      <c r="R142" s="5"/>
    </row>
    <row r="143" spans="1:18" s="1" customFormat="1" x14ac:dyDescent="0.25">
      <c r="A143" s="27"/>
      <c r="B143" s="5"/>
      <c r="C143" s="5"/>
      <c r="D143" s="42" t="s">
        <v>567</v>
      </c>
      <c r="E143" s="42" t="s">
        <v>568</v>
      </c>
      <c r="F143" s="42" t="s">
        <v>564</v>
      </c>
      <c r="G143" s="42" t="s">
        <v>573</v>
      </c>
      <c r="H143" s="88"/>
      <c r="I143" s="5"/>
      <c r="J143" s="5"/>
      <c r="K143" s="5"/>
      <c r="L143" s="5"/>
      <c r="M143" s="5"/>
      <c r="N143" s="5"/>
      <c r="O143" s="5"/>
      <c r="P143" s="5"/>
      <c r="Q143" s="5"/>
      <c r="R143" s="5"/>
    </row>
    <row r="144" spans="1:18" s="1" customFormat="1" x14ac:dyDescent="0.25">
      <c r="A144" s="27"/>
      <c r="B144" s="5"/>
      <c r="C144" s="5"/>
      <c r="D144" s="42" t="s">
        <v>572</v>
      </c>
      <c r="E144" s="42" t="s">
        <v>5</v>
      </c>
      <c r="F144" s="42" t="s">
        <v>564</v>
      </c>
      <c r="G144" s="42" t="s">
        <v>574</v>
      </c>
      <c r="H144" s="88" t="s">
        <v>213</v>
      </c>
      <c r="I144" s="5"/>
      <c r="J144" s="5"/>
      <c r="K144" s="5"/>
      <c r="L144" s="5"/>
      <c r="M144" s="5"/>
      <c r="N144" s="5"/>
      <c r="O144" s="5"/>
      <c r="P144" s="5"/>
      <c r="Q144" s="5"/>
      <c r="R144" s="5"/>
    </row>
    <row r="145" spans="1:18" s="1" customFormat="1" ht="28" x14ac:dyDescent="0.25">
      <c r="A145" s="27"/>
      <c r="B145" s="5"/>
      <c r="C145" s="5"/>
      <c r="D145" s="42" t="s">
        <v>594</v>
      </c>
      <c r="E145" s="42" t="s">
        <v>5</v>
      </c>
      <c r="F145" s="42" t="s">
        <v>587</v>
      </c>
      <c r="G145" s="95" t="s">
        <v>588</v>
      </c>
      <c r="I145" s="5"/>
      <c r="J145" s="5"/>
      <c r="K145" s="5"/>
      <c r="L145" s="5"/>
      <c r="M145" s="5"/>
      <c r="N145" s="5"/>
      <c r="O145" s="5"/>
      <c r="P145" s="5"/>
      <c r="Q145" s="5"/>
      <c r="R145" s="5"/>
    </row>
    <row r="146" spans="1:18" s="1" customFormat="1" ht="28" x14ac:dyDescent="0.25">
      <c r="A146" s="27"/>
      <c r="B146" s="5"/>
      <c r="C146" s="5"/>
      <c r="D146" s="42" t="s">
        <v>591</v>
      </c>
      <c r="E146" s="42" t="s">
        <v>73</v>
      </c>
      <c r="F146" s="42" t="s">
        <v>587</v>
      </c>
      <c r="G146" s="95" t="s">
        <v>591</v>
      </c>
      <c r="H146" s="42"/>
      <c r="I146" s="5"/>
      <c r="J146" s="5"/>
      <c r="K146" s="5"/>
      <c r="L146" s="5"/>
      <c r="M146" s="5"/>
      <c r="N146" s="5"/>
      <c r="O146" s="5"/>
      <c r="P146" s="5"/>
      <c r="Q146" s="5"/>
      <c r="R146" s="5"/>
    </row>
    <row r="147" spans="1:18" s="1" customFormat="1" x14ac:dyDescent="0.25">
      <c r="A147" s="27"/>
      <c r="B147" s="5"/>
      <c r="C147" s="5"/>
      <c r="D147" s="42" t="s">
        <v>591</v>
      </c>
      <c r="E147" s="42" t="s">
        <v>67</v>
      </c>
      <c r="F147" s="42" t="s">
        <v>587</v>
      </c>
      <c r="G147" s="95" t="s">
        <v>740</v>
      </c>
      <c r="H147" s="42" t="s">
        <v>653</v>
      </c>
      <c r="I147" s="5"/>
      <c r="J147" s="5"/>
      <c r="K147" s="5"/>
      <c r="L147" s="5"/>
      <c r="M147" s="5"/>
      <c r="N147" s="5"/>
      <c r="O147" s="5"/>
      <c r="P147" s="5"/>
      <c r="Q147" s="5"/>
      <c r="R147" s="5"/>
    </row>
    <row r="148" spans="1:18" s="1" customFormat="1" x14ac:dyDescent="0.25">
      <c r="A148" s="27"/>
      <c r="B148" s="5"/>
      <c r="C148" s="5"/>
      <c r="D148" s="42" t="s">
        <v>591</v>
      </c>
      <c r="E148" s="42" t="s">
        <v>73</v>
      </c>
      <c r="F148" s="42" t="s">
        <v>587</v>
      </c>
      <c r="G148" s="95" t="s">
        <v>741</v>
      </c>
      <c r="H148" s="42"/>
      <c r="I148" s="5"/>
      <c r="J148" s="5"/>
      <c r="K148" s="5"/>
      <c r="L148" s="5"/>
      <c r="M148" s="5"/>
      <c r="N148" s="5"/>
      <c r="O148" s="5"/>
      <c r="P148" s="5"/>
      <c r="Q148" s="5"/>
      <c r="R148" s="5"/>
    </row>
    <row r="149" spans="1:18" s="1" customFormat="1" ht="28" x14ac:dyDescent="0.25">
      <c r="A149" s="27"/>
      <c r="B149" s="5"/>
      <c r="C149" s="5"/>
      <c r="D149" s="42" t="s">
        <v>902</v>
      </c>
      <c r="E149" s="42" t="s">
        <v>531</v>
      </c>
      <c r="F149" s="42" t="s">
        <v>587</v>
      </c>
      <c r="G149" s="95" t="s">
        <v>901</v>
      </c>
      <c r="H149" s="1" t="b">
        <v>1</v>
      </c>
      <c r="I149" s="5"/>
      <c r="J149" s="5"/>
      <c r="K149" s="5"/>
      <c r="L149" s="5"/>
      <c r="M149" s="5"/>
      <c r="N149" s="5"/>
      <c r="O149" s="5"/>
      <c r="P149" s="5"/>
      <c r="Q149" s="5"/>
      <c r="R149" s="5"/>
    </row>
    <row r="150" spans="1:18" s="1" customFormat="1" ht="42" x14ac:dyDescent="0.25">
      <c r="A150" s="27">
        <v>0</v>
      </c>
      <c r="B150" s="42" t="s">
        <v>915</v>
      </c>
      <c r="C150" s="42" t="s">
        <v>903</v>
      </c>
      <c r="D150" s="42" t="s">
        <v>904</v>
      </c>
      <c r="E150" s="42" t="s">
        <v>15</v>
      </c>
      <c r="F150" s="42"/>
      <c r="G150" s="42"/>
      <c r="H150" s="1" t="s">
        <v>950</v>
      </c>
      <c r="I150" s="5"/>
      <c r="J150" s="5"/>
      <c r="K150" s="5"/>
      <c r="L150" s="5"/>
      <c r="M150" s="5"/>
      <c r="N150" s="5"/>
      <c r="O150" s="5"/>
      <c r="P150" s="5"/>
      <c r="Q150" s="5"/>
      <c r="R150" s="5"/>
    </row>
    <row r="151" spans="1:18" s="1" customFormat="1" x14ac:dyDescent="0.25">
      <c r="A151" s="27"/>
      <c r="B151" s="5"/>
      <c r="C151" s="5"/>
      <c r="D151" s="42" t="s">
        <v>882</v>
      </c>
      <c r="E151" s="42" t="s">
        <v>5</v>
      </c>
      <c r="F151" s="42" t="s">
        <v>822</v>
      </c>
      <c r="G151" s="42" t="s">
        <v>875</v>
      </c>
      <c r="I151" s="5"/>
      <c r="J151" s="5"/>
      <c r="K151" s="5"/>
      <c r="L151" s="5"/>
      <c r="M151" s="5"/>
      <c r="N151" s="5"/>
      <c r="O151" s="5"/>
      <c r="P151" s="5"/>
      <c r="Q151" s="5"/>
      <c r="R151" s="5"/>
    </row>
    <row r="152" spans="1:18" s="1" customFormat="1" ht="28" x14ac:dyDescent="0.25">
      <c r="A152" s="27"/>
      <c r="B152" s="5"/>
      <c r="C152" s="5"/>
      <c r="D152" s="42" t="s">
        <v>883</v>
      </c>
      <c r="E152" s="42" t="s">
        <v>5</v>
      </c>
      <c r="F152" s="42" t="s">
        <v>822</v>
      </c>
      <c r="G152" s="42" t="s">
        <v>877</v>
      </c>
      <c r="I152" s="5"/>
      <c r="J152" s="5"/>
      <c r="K152" s="5"/>
      <c r="L152" s="5"/>
      <c r="M152" s="5"/>
      <c r="N152" s="5"/>
      <c r="O152" s="5"/>
      <c r="P152" s="5"/>
      <c r="Q152" s="5"/>
      <c r="R152" s="5"/>
    </row>
    <row r="153" spans="1:18" s="1" customFormat="1" ht="28" x14ac:dyDescent="0.25">
      <c r="A153" s="27"/>
      <c r="B153" s="5"/>
      <c r="C153" s="5"/>
      <c r="D153" s="42" t="s">
        <v>884</v>
      </c>
      <c r="E153" s="42" t="s">
        <v>5</v>
      </c>
      <c r="F153" s="42" t="s">
        <v>822</v>
      </c>
      <c r="G153" s="42" t="s">
        <v>879</v>
      </c>
      <c r="I153" s="5"/>
      <c r="J153" s="5"/>
      <c r="K153" s="5"/>
      <c r="L153" s="5"/>
      <c r="M153" s="5"/>
      <c r="N153" s="5"/>
      <c r="O153" s="5"/>
      <c r="P153" s="5"/>
      <c r="Q153" s="5"/>
      <c r="R153" s="5"/>
    </row>
    <row r="154" spans="1:18" s="1" customFormat="1" ht="28" x14ac:dyDescent="0.25">
      <c r="A154" s="27"/>
      <c r="B154" s="5"/>
      <c r="C154" s="5"/>
      <c r="D154" s="42" t="s">
        <v>905</v>
      </c>
      <c r="E154" s="42" t="s">
        <v>5</v>
      </c>
      <c r="F154" s="42" t="s">
        <v>822</v>
      </c>
      <c r="G154" s="42" t="s">
        <v>880</v>
      </c>
      <c r="I154" s="5"/>
      <c r="J154" s="5"/>
      <c r="K154" s="5"/>
      <c r="L154" s="5"/>
      <c r="M154" s="5"/>
      <c r="N154" s="5"/>
      <c r="O154" s="5"/>
      <c r="P154" s="5"/>
      <c r="Q154" s="5"/>
      <c r="R154" s="5"/>
    </row>
    <row r="155" spans="1:18" s="1" customFormat="1" ht="28" x14ac:dyDescent="0.25">
      <c r="A155" s="27"/>
      <c r="B155" s="5"/>
      <c r="C155" s="5"/>
      <c r="D155" s="42" t="s">
        <v>906</v>
      </c>
      <c r="E155" s="42" t="s">
        <v>5</v>
      </c>
      <c r="F155" s="42" t="s">
        <v>822</v>
      </c>
      <c r="G155" s="42" t="s">
        <v>886</v>
      </c>
      <c r="I155" s="5"/>
      <c r="J155" s="5"/>
      <c r="K155" s="5"/>
      <c r="L155" s="5"/>
      <c r="M155" s="5"/>
      <c r="N155" s="5"/>
      <c r="O155" s="5"/>
      <c r="P155" s="5"/>
      <c r="Q155" s="5"/>
      <c r="R155" s="5"/>
    </row>
    <row r="156" spans="1:18" s="1" customFormat="1" ht="28" x14ac:dyDescent="0.25">
      <c r="A156" s="27"/>
      <c r="B156" s="5"/>
      <c r="C156" s="5"/>
      <c r="D156" s="42" t="s">
        <v>913</v>
      </c>
      <c r="E156" s="42" t="s">
        <v>5</v>
      </c>
      <c r="F156" s="42" t="s">
        <v>822</v>
      </c>
      <c r="G156" s="42" t="s">
        <v>912</v>
      </c>
      <c r="I156" s="5"/>
      <c r="J156" s="5"/>
      <c r="K156" s="5"/>
      <c r="L156" s="5"/>
      <c r="M156" s="5"/>
      <c r="N156" s="5"/>
      <c r="O156" s="5"/>
      <c r="P156" s="5"/>
      <c r="Q156" s="5"/>
      <c r="R156" s="5"/>
    </row>
    <row r="157" spans="1:18" s="1" customFormat="1" ht="28" x14ac:dyDescent="0.25">
      <c r="A157" s="27"/>
      <c r="B157" s="5"/>
      <c r="C157" s="5"/>
      <c r="D157" s="42" t="s">
        <v>914</v>
      </c>
      <c r="E157" s="42" t="s">
        <v>5</v>
      </c>
      <c r="F157" s="42" t="s">
        <v>822</v>
      </c>
      <c r="G157" s="42" t="s">
        <v>898</v>
      </c>
      <c r="I157" s="5"/>
      <c r="J157" s="5"/>
      <c r="K157" s="5"/>
      <c r="L157" s="5"/>
      <c r="M157" s="5"/>
      <c r="N157" s="5"/>
      <c r="O157" s="5"/>
      <c r="P157" s="5"/>
      <c r="Q157" s="5"/>
      <c r="R157" s="5"/>
    </row>
    <row r="158" spans="1:18" s="1" customFormat="1" ht="28" x14ac:dyDescent="0.25">
      <c r="A158" s="27"/>
      <c r="B158" s="5"/>
      <c r="C158" s="5"/>
      <c r="D158" s="42" t="s">
        <v>909</v>
      </c>
      <c r="E158" s="42" t="s">
        <v>5</v>
      </c>
      <c r="F158" s="42" t="s">
        <v>822</v>
      </c>
      <c r="G158" s="42" t="s">
        <v>887</v>
      </c>
      <c r="I158" s="5"/>
      <c r="J158" s="5"/>
      <c r="K158" s="5"/>
      <c r="L158" s="5"/>
      <c r="M158" s="5"/>
      <c r="N158" s="5"/>
      <c r="O158" s="5"/>
      <c r="P158" s="5"/>
      <c r="Q158" s="5"/>
      <c r="R158" s="5"/>
    </row>
    <row r="159" spans="1:18" s="1" customFormat="1" ht="28" x14ac:dyDescent="0.25">
      <c r="A159" s="27"/>
      <c r="B159" s="5"/>
      <c r="C159" s="5"/>
      <c r="D159" s="42" t="s">
        <v>913</v>
      </c>
      <c r="E159" s="42" t="s">
        <v>5</v>
      </c>
      <c r="F159" s="42" t="s">
        <v>822</v>
      </c>
      <c r="G159" s="42" t="s">
        <v>912</v>
      </c>
      <c r="I159" s="5"/>
      <c r="J159" s="5"/>
      <c r="K159" s="5"/>
      <c r="L159" s="5"/>
      <c r="M159" s="5"/>
      <c r="N159" s="5"/>
      <c r="O159" s="5"/>
      <c r="P159" s="5"/>
      <c r="Q159" s="5"/>
      <c r="R159" s="5"/>
    </row>
    <row r="160" spans="1:18" s="1" customFormat="1" ht="28" x14ac:dyDescent="0.25">
      <c r="A160" s="27"/>
      <c r="B160" s="5"/>
      <c r="C160" s="5"/>
      <c r="D160" s="42" t="s">
        <v>914</v>
      </c>
      <c r="E160" s="42" t="s">
        <v>5</v>
      </c>
      <c r="F160" s="42" t="s">
        <v>822</v>
      </c>
      <c r="G160" s="42" t="s">
        <v>898</v>
      </c>
      <c r="I160" s="5"/>
      <c r="J160" s="5"/>
      <c r="K160" s="5"/>
      <c r="L160" s="5"/>
      <c r="M160" s="5"/>
      <c r="N160" s="5"/>
      <c r="O160" s="5"/>
      <c r="P160" s="5"/>
      <c r="Q160" s="5"/>
      <c r="R160" s="5"/>
    </row>
    <row r="161" spans="1:18" s="1" customFormat="1" ht="28" x14ac:dyDescent="0.25">
      <c r="A161" s="27"/>
      <c r="B161" s="5"/>
      <c r="C161" s="5"/>
      <c r="D161" s="42" t="s">
        <v>908</v>
      </c>
      <c r="E161" s="42" t="s">
        <v>5</v>
      </c>
      <c r="F161" s="42" t="s">
        <v>822</v>
      </c>
      <c r="G161" s="42" t="s">
        <v>888</v>
      </c>
      <c r="I161" s="5"/>
      <c r="J161" s="5"/>
      <c r="K161" s="5"/>
      <c r="L161" s="5"/>
      <c r="M161" s="5"/>
      <c r="N161" s="5"/>
      <c r="O161" s="5"/>
      <c r="P161" s="5"/>
      <c r="Q161" s="5"/>
      <c r="R161" s="5"/>
    </row>
    <row r="162" spans="1:18" s="1" customFormat="1" ht="28" x14ac:dyDescent="0.25">
      <c r="A162" s="27"/>
      <c r="B162" s="5"/>
      <c r="C162" s="5"/>
      <c r="D162" s="42" t="s">
        <v>913</v>
      </c>
      <c r="E162" s="42" t="s">
        <v>5</v>
      </c>
      <c r="F162" s="42" t="s">
        <v>822</v>
      </c>
      <c r="G162" s="42" t="s">
        <v>912</v>
      </c>
      <c r="I162" s="5"/>
      <c r="J162" s="5"/>
      <c r="K162" s="5"/>
      <c r="L162" s="5"/>
      <c r="M162" s="5"/>
      <c r="N162" s="5"/>
      <c r="O162" s="5"/>
      <c r="P162" s="5"/>
      <c r="Q162" s="5"/>
      <c r="R162" s="5"/>
    </row>
    <row r="163" spans="1:18" s="1" customFormat="1" ht="28" x14ac:dyDescent="0.25">
      <c r="A163" s="27"/>
      <c r="B163" s="5"/>
      <c r="C163" s="5"/>
      <c r="D163" s="42" t="s">
        <v>914</v>
      </c>
      <c r="E163" s="42" t="s">
        <v>5</v>
      </c>
      <c r="F163" s="42" t="s">
        <v>822</v>
      </c>
      <c r="G163" s="42" t="s">
        <v>898</v>
      </c>
      <c r="I163" s="5"/>
      <c r="J163" s="5"/>
      <c r="K163" s="5"/>
      <c r="L163" s="5"/>
      <c r="M163" s="5"/>
      <c r="N163" s="5"/>
      <c r="O163" s="5"/>
      <c r="P163" s="5"/>
      <c r="Q163" s="5"/>
      <c r="R163" s="5"/>
    </row>
    <row r="164" spans="1:18" s="1" customFormat="1" ht="28" x14ac:dyDescent="0.25">
      <c r="A164" s="27"/>
      <c r="B164" s="5"/>
      <c r="C164" s="5"/>
      <c r="D164" s="42" t="s">
        <v>907</v>
      </c>
      <c r="E164" s="42" t="s">
        <v>5</v>
      </c>
      <c r="F164" s="42" t="s">
        <v>822</v>
      </c>
      <c r="G164" s="42" t="s">
        <v>889</v>
      </c>
      <c r="I164" s="5"/>
      <c r="J164" s="5"/>
      <c r="K164" s="5"/>
      <c r="L164" s="5"/>
      <c r="M164" s="5"/>
      <c r="N164" s="5"/>
      <c r="O164" s="5"/>
      <c r="P164" s="5"/>
      <c r="Q164" s="5"/>
      <c r="R164" s="5"/>
    </row>
    <row r="165" spans="1:18" s="1" customFormat="1" ht="28" x14ac:dyDescent="0.25">
      <c r="A165" s="27"/>
      <c r="B165" s="5"/>
      <c r="C165" s="5"/>
      <c r="D165" s="42" t="s">
        <v>913</v>
      </c>
      <c r="E165" s="42" t="s">
        <v>5</v>
      </c>
      <c r="F165" s="42" t="s">
        <v>822</v>
      </c>
      <c r="G165" s="42" t="s">
        <v>912</v>
      </c>
      <c r="I165" s="5"/>
      <c r="J165" s="5"/>
      <c r="K165" s="5"/>
      <c r="L165" s="5"/>
      <c r="M165" s="5"/>
      <c r="N165" s="5"/>
      <c r="O165" s="5"/>
      <c r="P165" s="5"/>
      <c r="Q165" s="5"/>
      <c r="R165" s="5"/>
    </row>
    <row r="166" spans="1:18" s="1" customFormat="1" ht="28" x14ac:dyDescent="0.25">
      <c r="A166" s="27"/>
      <c r="B166" s="5"/>
      <c r="C166" s="5"/>
      <c r="D166" s="42" t="s">
        <v>914</v>
      </c>
      <c r="E166" s="42" t="s">
        <v>5</v>
      </c>
      <c r="F166" s="42" t="s">
        <v>822</v>
      </c>
      <c r="G166" s="42" t="s">
        <v>898</v>
      </c>
      <c r="I166" s="5"/>
      <c r="J166" s="5"/>
      <c r="K166" s="5"/>
      <c r="L166" s="5"/>
      <c r="M166" s="5"/>
      <c r="N166" s="5"/>
      <c r="O166" s="5"/>
      <c r="P166" s="5"/>
      <c r="Q166" s="5"/>
      <c r="R166" s="5"/>
    </row>
    <row r="167" spans="1:18" s="1" customFormat="1" ht="28" x14ac:dyDescent="0.25">
      <c r="A167" s="27">
        <v>0</v>
      </c>
      <c r="B167" s="42" t="s">
        <v>936</v>
      </c>
      <c r="C167" s="42" t="s">
        <v>926</v>
      </c>
      <c r="D167" s="42" t="s">
        <v>562</v>
      </c>
      <c r="E167" s="42" t="s">
        <v>15</v>
      </c>
      <c r="F167" s="42" t="s">
        <v>564</v>
      </c>
      <c r="G167" s="42"/>
      <c r="H167" s="76" t="s">
        <v>949</v>
      </c>
      <c r="I167" s="5"/>
      <c r="J167" s="5"/>
      <c r="K167" s="5"/>
      <c r="L167" s="5"/>
      <c r="M167" s="5"/>
      <c r="N167" s="5"/>
      <c r="O167" s="5"/>
      <c r="P167" s="5"/>
      <c r="Q167" s="5"/>
      <c r="R167" s="5"/>
    </row>
    <row r="168" spans="1:18" s="1" customFormat="1" x14ac:dyDescent="0.25">
      <c r="A168" s="27"/>
      <c r="B168" s="5"/>
      <c r="C168" s="5"/>
      <c r="D168" s="42" t="s">
        <v>567</v>
      </c>
      <c r="E168" s="42" t="s">
        <v>568</v>
      </c>
      <c r="F168" s="42" t="s">
        <v>564</v>
      </c>
      <c r="G168" s="42" t="s">
        <v>573</v>
      </c>
      <c r="H168" s="88"/>
      <c r="I168" s="5"/>
      <c r="J168" s="5"/>
      <c r="K168" s="5"/>
      <c r="L168" s="5"/>
      <c r="M168" s="5"/>
      <c r="N168" s="5"/>
      <c r="O168" s="5"/>
      <c r="P168" s="5"/>
      <c r="Q168" s="5"/>
      <c r="R168" s="5"/>
    </row>
    <row r="169" spans="1:18" s="1" customFormat="1" x14ac:dyDescent="0.25">
      <c r="A169" s="27"/>
      <c r="B169" s="5"/>
      <c r="C169" s="5"/>
      <c r="D169" s="42" t="s">
        <v>572</v>
      </c>
      <c r="E169" s="42" t="s">
        <v>5</v>
      </c>
      <c r="F169" s="42" t="s">
        <v>564</v>
      </c>
      <c r="G169" s="42" t="s">
        <v>574</v>
      </c>
      <c r="H169" s="88" t="s">
        <v>213</v>
      </c>
      <c r="I169" s="5"/>
      <c r="J169" s="5"/>
      <c r="K169" s="5"/>
      <c r="L169" s="5"/>
      <c r="M169" s="5"/>
      <c r="N169" s="5"/>
      <c r="O169" s="5"/>
      <c r="P169" s="5"/>
      <c r="Q169" s="5"/>
      <c r="R169" s="5"/>
    </row>
    <row r="170" spans="1:18" s="1" customFormat="1" x14ac:dyDescent="0.25">
      <c r="A170" s="27"/>
      <c r="B170" s="92"/>
      <c r="C170" s="92"/>
      <c r="D170" s="42" t="s">
        <v>927</v>
      </c>
      <c r="E170" s="42" t="s">
        <v>67</v>
      </c>
      <c r="F170" s="42" t="s">
        <v>587</v>
      </c>
      <c r="G170" s="95" t="s">
        <v>847</v>
      </c>
      <c r="H170" s="88" t="s">
        <v>930</v>
      </c>
      <c r="I170" s="5"/>
      <c r="J170" s="5"/>
      <c r="K170" s="5"/>
      <c r="L170" s="5"/>
      <c r="M170" s="5"/>
      <c r="N170" s="5"/>
      <c r="O170" s="5"/>
      <c r="P170" s="5"/>
      <c r="Q170" s="5"/>
      <c r="R170" s="5"/>
    </row>
    <row r="171" spans="1:18" s="1" customFormat="1" x14ac:dyDescent="0.25">
      <c r="A171" s="27"/>
      <c r="B171" s="92"/>
      <c r="C171" s="92"/>
      <c r="D171" s="42" t="s">
        <v>583</v>
      </c>
      <c r="E171" s="42" t="s">
        <v>212</v>
      </c>
      <c r="F171" s="42" t="s">
        <v>587</v>
      </c>
      <c r="G171" s="95" t="s">
        <v>847</v>
      </c>
      <c r="H171" s="42" t="s">
        <v>213</v>
      </c>
      <c r="I171" s="5"/>
      <c r="J171" s="5"/>
      <c r="K171" s="5"/>
      <c r="L171" s="5"/>
      <c r="M171" s="5"/>
      <c r="N171" s="5"/>
      <c r="O171" s="5"/>
      <c r="P171" s="5"/>
      <c r="Q171" s="5"/>
      <c r="R171" s="5"/>
    </row>
    <row r="172" spans="1:18" s="1" customFormat="1" ht="28" x14ac:dyDescent="0.25">
      <c r="A172" s="27">
        <v>0</v>
      </c>
      <c r="B172" s="42" t="s">
        <v>935</v>
      </c>
      <c r="C172" s="98" t="s">
        <v>933</v>
      </c>
      <c r="D172" s="42" t="s">
        <v>934</v>
      </c>
      <c r="E172" s="42" t="s">
        <v>9</v>
      </c>
      <c r="F172" s="42" t="s">
        <v>587</v>
      </c>
      <c r="G172" s="95" t="s">
        <v>932</v>
      </c>
      <c r="H172" s="42" t="s">
        <v>930</v>
      </c>
      <c r="I172" s="5"/>
      <c r="J172" s="5"/>
      <c r="K172" s="5"/>
      <c r="L172" s="5"/>
      <c r="M172" s="5"/>
      <c r="N172" s="5"/>
      <c r="O172" s="5"/>
      <c r="P172" s="5"/>
      <c r="Q172" s="5"/>
      <c r="R172" s="5"/>
    </row>
    <row r="173" spans="1:18" s="1" customFormat="1" ht="28" x14ac:dyDescent="0.25">
      <c r="A173" s="27">
        <v>1</v>
      </c>
      <c r="B173" s="42" t="s">
        <v>666</v>
      </c>
      <c r="C173" s="42" t="s">
        <v>919</v>
      </c>
      <c r="D173" s="42" t="s">
        <v>562</v>
      </c>
      <c r="E173" s="42" t="s">
        <v>15</v>
      </c>
      <c r="F173" s="42" t="s">
        <v>564</v>
      </c>
      <c r="G173" s="42"/>
      <c r="H173" s="76" t="s">
        <v>949</v>
      </c>
      <c r="I173" s="5"/>
      <c r="J173" s="5"/>
      <c r="K173" s="5"/>
      <c r="L173" s="5"/>
      <c r="M173" s="5"/>
      <c r="N173" s="5"/>
      <c r="O173" s="5"/>
      <c r="P173" s="5"/>
      <c r="Q173" s="5"/>
      <c r="R173" s="5"/>
    </row>
    <row r="174" spans="1:18" s="1" customFormat="1" x14ac:dyDescent="0.25">
      <c r="A174" s="27"/>
      <c r="B174" s="42"/>
      <c r="C174" s="42"/>
      <c r="D174" s="42" t="s">
        <v>578</v>
      </c>
      <c r="E174" s="42" t="s">
        <v>568</v>
      </c>
      <c r="F174" s="42" t="s">
        <v>564</v>
      </c>
      <c r="G174" s="42" t="s">
        <v>577</v>
      </c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</row>
    <row r="175" spans="1:18" s="1" customFormat="1" ht="28" x14ac:dyDescent="0.25">
      <c r="A175" s="27"/>
      <c r="B175" s="5"/>
      <c r="C175" s="5"/>
      <c r="D175" s="42" t="s">
        <v>977</v>
      </c>
      <c r="E175" s="42" t="s">
        <v>528</v>
      </c>
      <c r="F175" s="42" t="s">
        <v>564</v>
      </c>
      <c r="G175" s="42" t="s">
        <v>579</v>
      </c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</row>
    <row r="176" spans="1:18" s="1" customFormat="1" x14ac:dyDescent="0.25">
      <c r="A176" s="27"/>
      <c r="B176" s="42"/>
      <c r="C176" s="42"/>
      <c r="D176" s="42" t="s">
        <v>580</v>
      </c>
      <c r="E176" s="42" t="s">
        <v>5</v>
      </c>
      <c r="F176" s="42" t="s">
        <v>564</v>
      </c>
      <c r="G176" s="42" t="s">
        <v>579</v>
      </c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</row>
    <row r="177" spans="1:18" s="1" customFormat="1" x14ac:dyDescent="0.25">
      <c r="A177" s="27"/>
      <c r="B177" s="42"/>
      <c r="C177" s="42"/>
      <c r="D177" s="42" t="s">
        <v>581</v>
      </c>
      <c r="E177" s="42" t="s">
        <v>4</v>
      </c>
      <c r="F177" s="42" t="s">
        <v>564</v>
      </c>
      <c r="G177" s="42" t="s">
        <v>582</v>
      </c>
      <c r="H177" s="42" t="s">
        <v>779</v>
      </c>
      <c r="I177" s="5"/>
      <c r="J177" s="5"/>
      <c r="K177" s="5"/>
      <c r="L177" s="5"/>
      <c r="M177" s="5"/>
      <c r="N177" s="5"/>
      <c r="O177" s="5"/>
      <c r="P177" s="5"/>
      <c r="Q177" s="5"/>
      <c r="R177" s="5"/>
    </row>
    <row r="178" spans="1:18" s="1" customFormat="1" x14ac:dyDescent="0.25">
      <c r="A178" s="30"/>
      <c r="B178" s="30"/>
      <c r="C178" s="30"/>
      <c r="D178" s="42" t="s">
        <v>583</v>
      </c>
      <c r="E178" s="42" t="s">
        <v>212</v>
      </c>
      <c r="F178" s="42" t="s">
        <v>564</v>
      </c>
      <c r="G178" s="42" t="s">
        <v>582</v>
      </c>
      <c r="H178" s="42" t="s">
        <v>213</v>
      </c>
      <c r="I178" s="43"/>
      <c r="J178" s="43"/>
      <c r="K178" s="43"/>
      <c r="L178" s="5"/>
      <c r="M178" s="5"/>
      <c r="N178" s="5"/>
      <c r="O178" s="5"/>
      <c r="P178" s="5"/>
      <c r="Q178" s="5"/>
      <c r="R178" s="5"/>
    </row>
    <row r="179" spans="1:18" s="1" customFormat="1" x14ac:dyDescent="0.25">
      <c r="A179" s="27"/>
      <c r="B179" s="5"/>
      <c r="C179" s="42"/>
      <c r="D179" s="42" t="s">
        <v>610</v>
      </c>
      <c r="E179" s="42" t="s">
        <v>5</v>
      </c>
      <c r="F179" s="42" t="s">
        <v>564</v>
      </c>
      <c r="G179" s="42" t="s">
        <v>585</v>
      </c>
      <c r="H179" s="42"/>
      <c r="I179" s="5"/>
      <c r="J179" s="5"/>
      <c r="K179" s="5"/>
      <c r="L179" s="5"/>
      <c r="M179" s="5"/>
      <c r="N179" s="5"/>
      <c r="O179" s="5"/>
      <c r="P179" s="5"/>
      <c r="Q179" s="5"/>
      <c r="R179" s="5"/>
    </row>
    <row r="180" spans="1:18" s="1" customFormat="1" ht="14.25" customHeight="1" x14ac:dyDescent="0.25">
      <c r="A180" s="27"/>
      <c r="B180" s="5"/>
      <c r="C180" s="5"/>
      <c r="D180" s="42" t="s">
        <v>563</v>
      </c>
      <c r="E180" s="42" t="s">
        <v>5</v>
      </c>
      <c r="F180" s="42" t="s">
        <v>564</v>
      </c>
      <c r="G180" s="42" t="s">
        <v>586</v>
      </c>
      <c r="I180" s="5"/>
      <c r="J180" s="5"/>
      <c r="K180" s="5"/>
      <c r="L180" s="5"/>
      <c r="M180" s="5"/>
      <c r="N180" s="5"/>
      <c r="O180" s="5"/>
      <c r="P180" s="5"/>
      <c r="Q180" s="5"/>
      <c r="R180" s="5"/>
    </row>
    <row r="181" spans="1:18" s="1" customFormat="1" x14ac:dyDescent="0.25">
      <c r="A181" s="27"/>
      <c r="B181" s="5"/>
      <c r="C181" s="5"/>
      <c r="D181" s="42" t="s">
        <v>567</v>
      </c>
      <c r="E181" s="42" t="s">
        <v>568</v>
      </c>
      <c r="F181" s="42" t="s">
        <v>564</v>
      </c>
      <c r="G181" s="42" t="s">
        <v>573</v>
      </c>
      <c r="H181" s="88"/>
      <c r="I181" s="5"/>
      <c r="J181" s="5"/>
      <c r="K181" s="5"/>
      <c r="L181" s="5"/>
      <c r="M181" s="5"/>
      <c r="N181" s="5"/>
      <c r="O181" s="5"/>
      <c r="P181" s="5"/>
      <c r="Q181" s="5"/>
      <c r="R181" s="5"/>
    </row>
    <row r="182" spans="1:18" s="30" customFormat="1" x14ac:dyDescent="0.25">
      <c r="A182" s="27"/>
      <c r="B182" s="5"/>
      <c r="C182" s="5"/>
      <c r="D182" s="42" t="s">
        <v>572</v>
      </c>
      <c r="E182" s="42" t="s">
        <v>5</v>
      </c>
      <c r="F182" s="42" t="s">
        <v>564</v>
      </c>
      <c r="G182" s="42" t="s">
        <v>574</v>
      </c>
      <c r="H182" s="88" t="s">
        <v>213</v>
      </c>
      <c r="I182" s="29"/>
      <c r="J182" s="29"/>
      <c r="K182" s="29"/>
      <c r="L182" s="29"/>
      <c r="M182" s="29"/>
      <c r="N182" s="29"/>
      <c r="O182" s="29"/>
      <c r="P182" s="29"/>
      <c r="Q182" s="29"/>
      <c r="R182" s="29"/>
    </row>
    <row r="183" spans="1:18" s="1" customFormat="1" ht="28" x14ac:dyDescent="0.25">
      <c r="A183" s="27"/>
      <c r="B183" s="5"/>
      <c r="C183" s="5"/>
      <c r="D183" s="42" t="s">
        <v>594</v>
      </c>
      <c r="E183" s="42" t="s">
        <v>5</v>
      </c>
      <c r="F183" s="42" t="s">
        <v>587</v>
      </c>
      <c r="G183" s="95" t="s">
        <v>588</v>
      </c>
      <c r="I183" s="5"/>
      <c r="J183" s="5"/>
      <c r="K183" s="5"/>
      <c r="L183" s="5"/>
      <c r="M183" s="5"/>
      <c r="N183" s="5"/>
      <c r="O183" s="5"/>
      <c r="P183" s="5"/>
      <c r="Q183" s="5"/>
      <c r="R183" s="5"/>
    </row>
    <row r="184" spans="1:18" s="1" customFormat="1" ht="28" x14ac:dyDescent="0.25">
      <c r="A184" s="27"/>
      <c r="B184" s="92"/>
      <c r="C184" s="92"/>
      <c r="D184" s="42" t="s">
        <v>591</v>
      </c>
      <c r="E184" s="42" t="s">
        <v>73</v>
      </c>
      <c r="F184" s="42" t="s">
        <v>587</v>
      </c>
      <c r="G184" s="95" t="s">
        <v>591</v>
      </c>
      <c r="H184" s="42"/>
      <c r="I184" s="5"/>
      <c r="J184" s="5"/>
      <c r="K184" s="5"/>
      <c r="L184" s="5"/>
      <c r="M184" s="5"/>
      <c r="N184" s="5"/>
      <c r="O184" s="5"/>
      <c r="P184" s="5"/>
      <c r="Q184" s="5"/>
      <c r="R184" s="5"/>
    </row>
    <row r="185" spans="1:18" s="1" customFormat="1" x14ac:dyDescent="0.25">
      <c r="A185" s="27"/>
      <c r="B185" s="92"/>
      <c r="C185" s="92"/>
      <c r="D185" s="42" t="s">
        <v>591</v>
      </c>
      <c r="E185" s="42" t="s">
        <v>67</v>
      </c>
      <c r="F185" s="42" t="s">
        <v>587</v>
      </c>
      <c r="G185" s="95" t="s">
        <v>740</v>
      </c>
      <c r="H185" s="42" t="s">
        <v>702</v>
      </c>
      <c r="I185" s="5"/>
      <c r="J185" s="5"/>
      <c r="K185" s="5"/>
      <c r="L185" s="5"/>
      <c r="M185" s="5"/>
      <c r="N185" s="5"/>
      <c r="O185" s="5"/>
      <c r="P185" s="5"/>
      <c r="Q185" s="5"/>
      <c r="R185" s="5"/>
    </row>
    <row r="186" spans="1:18" s="1" customFormat="1" x14ac:dyDescent="0.25">
      <c r="A186" s="27"/>
      <c r="B186" s="92"/>
      <c r="C186" s="92"/>
      <c r="D186" s="42" t="s">
        <v>591</v>
      </c>
      <c r="E186" s="42" t="s">
        <v>73</v>
      </c>
      <c r="F186" s="42" t="s">
        <v>587</v>
      </c>
      <c r="G186" s="95" t="s">
        <v>741</v>
      </c>
      <c r="H186" s="42"/>
      <c r="I186" s="5"/>
      <c r="J186" s="5"/>
      <c r="K186" s="5"/>
      <c r="L186" s="5"/>
      <c r="M186" s="5"/>
      <c r="N186" s="5"/>
      <c r="O186" s="5"/>
      <c r="P186" s="5"/>
      <c r="Q186" s="5"/>
      <c r="R186" s="5"/>
    </row>
    <row r="187" spans="1:18" s="1" customFormat="1" ht="28" x14ac:dyDescent="0.25">
      <c r="A187" s="27">
        <v>1</v>
      </c>
      <c r="B187" s="42" t="s">
        <v>745</v>
      </c>
      <c r="C187" s="42" t="s">
        <v>744</v>
      </c>
      <c r="D187" s="42" t="s">
        <v>597</v>
      </c>
      <c r="E187" s="42" t="s">
        <v>603</v>
      </c>
      <c r="F187" s="42" t="s">
        <v>587</v>
      </c>
      <c r="G187" s="95" t="s">
        <v>596</v>
      </c>
      <c r="H187" s="88" t="s">
        <v>844</v>
      </c>
      <c r="I187" s="5"/>
      <c r="J187" s="5"/>
      <c r="K187" s="5"/>
      <c r="L187" s="5"/>
      <c r="M187" s="5"/>
      <c r="N187" s="5"/>
      <c r="O187" s="5"/>
      <c r="P187" s="5"/>
      <c r="Q187" s="5"/>
      <c r="R187" s="5"/>
    </row>
    <row r="188" spans="1:18" s="1" customFormat="1" x14ac:dyDescent="0.25">
      <c r="A188" s="27">
        <v>1</v>
      </c>
      <c r="B188" s="42" t="s">
        <v>737</v>
      </c>
      <c r="C188" s="42" t="s">
        <v>736</v>
      </c>
      <c r="D188" s="42" t="s">
        <v>726</v>
      </c>
      <c r="E188" s="42" t="s">
        <v>131</v>
      </c>
      <c r="F188" s="42" t="s">
        <v>587</v>
      </c>
      <c r="G188" s="95" t="s">
        <v>730</v>
      </c>
      <c r="H188" s="88" t="s">
        <v>807</v>
      </c>
      <c r="I188" s="5"/>
      <c r="J188" s="5"/>
      <c r="K188" s="5"/>
      <c r="L188" s="5"/>
      <c r="M188" s="5"/>
      <c r="N188" s="5"/>
      <c r="O188" s="5"/>
      <c r="P188" s="5"/>
      <c r="Q188" s="5"/>
      <c r="R188" s="5"/>
    </row>
    <row r="189" spans="1:18" s="1" customFormat="1" ht="28" x14ac:dyDescent="0.25">
      <c r="A189" s="27">
        <v>1</v>
      </c>
      <c r="B189" s="42" t="s">
        <v>665</v>
      </c>
      <c r="C189" s="42" t="s">
        <v>920</v>
      </c>
      <c r="D189" s="42" t="s">
        <v>734</v>
      </c>
      <c r="E189" s="42" t="s">
        <v>5</v>
      </c>
      <c r="F189" s="42" t="s">
        <v>587</v>
      </c>
      <c r="G189" s="95" t="s">
        <v>732</v>
      </c>
      <c r="H189" s="88"/>
      <c r="I189" s="5"/>
      <c r="J189" s="5"/>
      <c r="K189" s="5"/>
      <c r="L189" s="5"/>
      <c r="M189" s="5"/>
      <c r="N189" s="5"/>
      <c r="O189" s="5"/>
      <c r="P189" s="5"/>
      <c r="Q189" s="5"/>
      <c r="R189" s="5"/>
    </row>
    <row r="190" spans="1:18" s="1" customFormat="1" x14ac:dyDescent="0.25">
      <c r="A190" s="27"/>
      <c r="D190" s="42" t="s">
        <v>735</v>
      </c>
      <c r="E190" s="42" t="s">
        <v>5</v>
      </c>
      <c r="F190" s="42" t="s">
        <v>587</v>
      </c>
      <c r="G190" s="95" t="s">
        <v>733</v>
      </c>
      <c r="H190" s="42"/>
      <c r="I190" s="5"/>
      <c r="J190" s="5"/>
      <c r="K190" s="5"/>
      <c r="L190" s="5"/>
      <c r="M190" s="5"/>
      <c r="N190" s="5"/>
      <c r="O190" s="5"/>
      <c r="P190" s="5"/>
      <c r="Q190" s="5"/>
      <c r="R190" s="5"/>
    </row>
    <row r="191" spans="1:18" s="1" customFormat="1" x14ac:dyDescent="0.25">
      <c r="A191" s="27"/>
      <c r="B191" s="42"/>
      <c r="C191" s="42"/>
      <c r="D191" s="42" t="s">
        <v>590</v>
      </c>
      <c r="E191" s="42" t="s">
        <v>67</v>
      </c>
      <c r="F191" s="42" t="s">
        <v>587</v>
      </c>
      <c r="G191" s="95" t="s">
        <v>590</v>
      </c>
      <c r="H191" s="66" t="s">
        <v>979</v>
      </c>
      <c r="I191" s="5"/>
      <c r="J191" s="5"/>
      <c r="K191" s="5"/>
      <c r="L191" s="5"/>
      <c r="M191" s="5"/>
      <c r="N191" s="5"/>
      <c r="O191" s="5"/>
      <c r="P191" s="5"/>
      <c r="Q191" s="5"/>
      <c r="R191" s="5"/>
    </row>
    <row r="192" spans="1:18" s="1" customFormat="1" x14ac:dyDescent="0.25">
      <c r="A192" s="27"/>
      <c r="B192" s="42"/>
      <c r="C192" s="42"/>
      <c r="D192" s="42" t="s">
        <v>852</v>
      </c>
      <c r="E192" s="42" t="s">
        <v>465</v>
      </c>
      <c r="F192" s="42" t="s">
        <v>587</v>
      </c>
      <c r="G192" s="95" t="s">
        <v>590</v>
      </c>
      <c r="H192" s="42" t="s">
        <v>853</v>
      </c>
      <c r="I192" s="5"/>
      <c r="J192" s="5"/>
      <c r="K192" s="5"/>
      <c r="L192" s="5"/>
      <c r="M192" s="5"/>
      <c r="N192" s="5"/>
      <c r="O192" s="5"/>
      <c r="P192" s="5"/>
      <c r="Q192" s="5"/>
      <c r="R192" s="5"/>
    </row>
    <row r="193" spans="1:18" s="1" customFormat="1" ht="28" x14ac:dyDescent="0.25">
      <c r="A193" s="27"/>
      <c r="B193" s="5"/>
      <c r="C193" s="5"/>
      <c r="D193" s="42" t="s">
        <v>742</v>
      </c>
      <c r="E193" s="42" t="s">
        <v>5</v>
      </c>
      <c r="F193" s="42" t="s">
        <v>587</v>
      </c>
      <c r="G193" s="95" t="s">
        <v>592</v>
      </c>
      <c r="H193" s="42"/>
      <c r="I193" s="5"/>
      <c r="J193" s="5"/>
      <c r="K193" s="5"/>
      <c r="L193" s="5"/>
      <c r="M193" s="5"/>
      <c r="N193" s="5"/>
      <c r="O193" s="5"/>
      <c r="P193" s="5"/>
      <c r="Q193" s="5"/>
      <c r="R193" s="5"/>
    </row>
    <row r="194" spans="1:18" s="1" customFormat="1" x14ac:dyDescent="0.25">
      <c r="A194" s="27"/>
      <c r="B194" s="5"/>
      <c r="C194" s="5"/>
      <c r="D194" s="42" t="s">
        <v>742</v>
      </c>
      <c r="E194" s="42" t="s">
        <v>4</v>
      </c>
      <c r="F194" s="42" t="s">
        <v>587</v>
      </c>
      <c r="G194" s="95" t="s">
        <v>740</v>
      </c>
      <c r="H194" s="42" t="s">
        <v>653</v>
      </c>
      <c r="I194" s="5"/>
      <c r="J194" s="5"/>
      <c r="K194" s="5"/>
      <c r="L194" s="5"/>
      <c r="M194" s="5"/>
      <c r="N194" s="5"/>
      <c r="O194" s="5"/>
      <c r="P194" s="5"/>
      <c r="Q194" s="5"/>
      <c r="R194" s="5"/>
    </row>
    <row r="195" spans="1:18" s="1" customFormat="1" x14ac:dyDescent="0.25">
      <c r="A195" s="27"/>
      <c r="B195" s="5"/>
      <c r="C195" s="5"/>
      <c r="D195" s="42" t="s">
        <v>742</v>
      </c>
      <c r="E195" s="42" t="s">
        <v>5</v>
      </c>
      <c r="F195" s="42" t="s">
        <v>587</v>
      </c>
      <c r="G195" s="95" t="s">
        <v>741</v>
      </c>
      <c r="H195" s="42"/>
      <c r="I195" s="5"/>
      <c r="J195" s="5"/>
      <c r="K195" s="5"/>
      <c r="L195" s="5"/>
      <c r="M195" s="5"/>
      <c r="N195" s="5"/>
      <c r="O195" s="5"/>
      <c r="P195" s="5"/>
      <c r="Q195" s="5"/>
      <c r="R195" s="5"/>
    </row>
    <row r="196" spans="1:18" s="1" customFormat="1" ht="28" x14ac:dyDescent="0.25">
      <c r="A196" s="27">
        <v>1</v>
      </c>
      <c r="B196" s="42" t="s">
        <v>746</v>
      </c>
      <c r="C196" s="42" t="s">
        <v>744</v>
      </c>
      <c r="D196" s="42" t="s">
        <v>597</v>
      </c>
      <c r="E196" s="42" t="s">
        <v>604</v>
      </c>
      <c r="F196" s="42" t="s">
        <v>587</v>
      </c>
      <c r="G196" s="95" t="s">
        <v>596</v>
      </c>
      <c r="H196" s="88" t="s">
        <v>812</v>
      </c>
      <c r="I196" s="5"/>
      <c r="J196" s="5"/>
      <c r="K196" s="5"/>
      <c r="L196" s="5"/>
      <c r="M196" s="5"/>
      <c r="N196" s="5"/>
      <c r="O196" s="5"/>
      <c r="P196" s="5"/>
      <c r="Q196" s="5"/>
      <c r="R196" s="5"/>
    </row>
    <row r="197" spans="1:18" s="1" customFormat="1" ht="28" x14ac:dyDescent="0.25">
      <c r="A197" s="27"/>
      <c r="B197" s="5"/>
      <c r="C197" s="5"/>
      <c r="D197" s="42" t="s">
        <v>593</v>
      </c>
      <c r="E197" s="42" t="s">
        <v>5</v>
      </c>
      <c r="F197" s="42" t="s">
        <v>587</v>
      </c>
      <c r="G197" s="95" t="s">
        <v>593</v>
      </c>
      <c r="H197" s="66"/>
      <c r="I197" s="5"/>
      <c r="J197" s="5"/>
      <c r="K197" s="5"/>
      <c r="L197" s="5"/>
      <c r="M197" s="5"/>
      <c r="N197" s="5"/>
      <c r="O197" s="5"/>
      <c r="P197" s="5"/>
      <c r="Q197" s="5"/>
      <c r="R197" s="5"/>
    </row>
    <row r="198" spans="1:18" s="1" customFormat="1" x14ac:dyDescent="0.25">
      <c r="A198" s="27"/>
      <c r="B198" s="5"/>
      <c r="C198" s="5"/>
      <c r="D198" s="42" t="s">
        <v>593</v>
      </c>
      <c r="E198" s="42" t="s">
        <v>67</v>
      </c>
      <c r="F198" s="42" t="s">
        <v>587</v>
      </c>
      <c r="G198" s="95" t="s">
        <v>740</v>
      </c>
      <c r="H198" s="66" t="s">
        <v>747</v>
      </c>
      <c r="I198" s="5"/>
      <c r="J198" s="5"/>
      <c r="K198" s="5"/>
      <c r="L198" s="5"/>
      <c r="M198" s="5"/>
      <c r="N198" s="5"/>
      <c r="O198" s="5"/>
      <c r="P198" s="5"/>
      <c r="Q198" s="5"/>
      <c r="R198" s="5"/>
    </row>
    <row r="199" spans="1:18" s="1" customFormat="1" x14ac:dyDescent="0.25">
      <c r="A199" s="27"/>
      <c r="B199" s="5"/>
      <c r="C199" s="5"/>
      <c r="D199" s="42" t="s">
        <v>593</v>
      </c>
      <c r="E199" s="42" t="s">
        <v>5</v>
      </c>
      <c r="F199" s="42" t="s">
        <v>587</v>
      </c>
      <c r="G199" s="95" t="s">
        <v>741</v>
      </c>
      <c r="H199" s="66"/>
      <c r="I199" s="5"/>
      <c r="J199" s="5"/>
      <c r="K199" s="5"/>
      <c r="L199" s="5"/>
      <c r="M199" s="5"/>
      <c r="N199" s="5"/>
      <c r="O199" s="5"/>
      <c r="P199" s="5"/>
      <c r="Q199" s="5"/>
      <c r="R199" s="5"/>
    </row>
    <row r="200" spans="1:18" s="1" customFormat="1" ht="28" x14ac:dyDescent="0.25">
      <c r="A200" s="27"/>
      <c r="B200" s="5"/>
      <c r="C200" s="5"/>
      <c r="D200" s="42" t="s">
        <v>598</v>
      </c>
      <c r="E200" s="5" t="s">
        <v>18</v>
      </c>
      <c r="F200" s="42" t="s">
        <v>587</v>
      </c>
      <c r="G200" s="95" t="s">
        <v>598</v>
      </c>
      <c r="H200" s="42"/>
      <c r="I200" s="5"/>
      <c r="J200" s="5"/>
      <c r="K200" s="5"/>
      <c r="L200" s="5"/>
      <c r="M200" s="5"/>
      <c r="N200" s="5"/>
      <c r="O200" s="5"/>
      <c r="P200" s="5"/>
      <c r="Q200" s="5"/>
      <c r="R200" s="5"/>
    </row>
    <row r="201" spans="1:18" s="30" customFormat="1" x14ac:dyDescent="0.25">
      <c r="A201" s="27"/>
      <c r="B201" s="5"/>
      <c r="C201" s="5"/>
      <c r="D201" s="42" t="s">
        <v>601</v>
      </c>
      <c r="E201" s="5" t="s">
        <v>4</v>
      </c>
      <c r="F201" s="42" t="s">
        <v>587</v>
      </c>
      <c r="G201" s="95" t="s">
        <v>600</v>
      </c>
      <c r="H201" s="42" t="s">
        <v>601</v>
      </c>
      <c r="I201" s="29"/>
      <c r="J201" s="29"/>
      <c r="K201" s="29"/>
      <c r="L201" s="29"/>
      <c r="M201" s="29"/>
      <c r="N201" s="29"/>
      <c r="O201" s="29"/>
      <c r="P201" s="29"/>
      <c r="Q201" s="29"/>
      <c r="R201" s="29"/>
    </row>
    <row r="202" spans="1:18" s="30" customFormat="1" x14ac:dyDescent="0.25">
      <c r="A202" s="27"/>
      <c r="B202" s="5"/>
      <c r="C202" s="5"/>
      <c r="D202" s="42" t="s">
        <v>815</v>
      </c>
      <c r="E202" s="42" t="s">
        <v>19</v>
      </c>
      <c r="F202" s="42"/>
      <c r="G202" s="96"/>
      <c r="H202" s="42"/>
      <c r="I202" s="94"/>
      <c r="J202" s="94"/>
      <c r="K202" s="94"/>
      <c r="L202" s="94"/>
      <c r="M202" s="94"/>
      <c r="N202" s="94"/>
      <c r="O202" s="94"/>
      <c r="P202" s="94"/>
      <c r="Q202" s="94"/>
      <c r="R202" s="94"/>
    </row>
    <row r="203" spans="1:18" s="30" customFormat="1" ht="28" x14ac:dyDescent="0.25">
      <c r="A203" s="27"/>
      <c r="B203" s="5"/>
      <c r="C203" s="5"/>
      <c r="D203" s="42" t="s">
        <v>814</v>
      </c>
      <c r="E203" s="42" t="s">
        <v>295</v>
      </c>
      <c r="F203" s="42" t="s">
        <v>587</v>
      </c>
      <c r="G203" s="97" t="s">
        <v>749</v>
      </c>
      <c r="H203" s="42"/>
      <c r="I203" s="94"/>
      <c r="J203" s="94"/>
      <c r="K203" s="94"/>
      <c r="L203" s="94"/>
      <c r="M203" s="94"/>
      <c r="N203" s="94"/>
      <c r="O203" s="94"/>
      <c r="P203" s="94"/>
      <c r="Q203" s="94"/>
      <c r="R203" s="94"/>
    </row>
    <row r="204" spans="1:18" ht="28" x14ac:dyDescent="0.25">
      <c r="A204" s="27"/>
      <c r="B204" s="5"/>
      <c r="C204" s="5"/>
      <c r="D204" s="42" t="s">
        <v>752</v>
      </c>
      <c r="E204" s="42" t="s">
        <v>5</v>
      </c>
      <c r="F204" s="42" t="s">
        <v>587</v>
      </c>
      <c r="G204" s="97" t="s">
        <v>749</v>
      </c>
      <c r="H204" s="31"/>
    </row>
    <row r="205" spans="1:18" x14ac:dyDescent="0.25">
      <c r="A205" s="27"/>
      <c r="B205" s="5"/>
      <c r="C205" s="5"/>
      <c r="D205" s="42" t="s">
        <v>752</v>
      </c>
      <c r="E205" s="5" t="s">
        <v>4</v>
      </c>
      <c r="F205" s="42" t="s">
        <v>564</v>
      </c>
      <c r="G205" s="42" t="s">
        <v>582</v>
      </c>
      <c r="H205" s="66" t="s">
        <v>609</v>
      </c>
    </row>
    <row r="206" spans="1:18" s="1" customFormat="1" x14ac:dyDescent="0.25">
      <c r="A206" s="27"/>
      <c r="B206" s="5"/>
      <c r="C206" s="5"/>
      <c r="D206" s="42" t="s">
        <v>583</v>
      </c>
      <c r="E206" s="42" t="s">
        <v>212</v>
      </c>
      <c r="F206" s="42" t="s">
        <v>564</v>
      </c>
      <c r="G206" s="42" t="s">
        <v>582</v>
      </c>
      <c r="H206" s="42" t="s">
        <v>213</v>
      </c>
      <c r="I206" s="5"/>
      <c r="J206" s="5"/>
      <c r="K206" s="5"/>
      <c r="L206" s="5"/>
      <c r="M206" s="5"/>
      <c r="N206" s="5"/>
      <c r="O206" s="5"/>
      <c r="P206" s="5"/>
      <c r="Q206" s="5"/>
      <c r="R206" s="5"/>
    </row>
    <row r="207" spans="1:18" x14ac:dyDescent="0.25">
      <c r="A207" s="27"/>
      <c r="B207" s="5"/>
      <c r="C207" s="5"/>
      <c r="D207" s="42" t="s">
        <v>752</v>
      </c>
      <c r="E207" s="42" t="s">
        <v>5</v>
      </c>
      <c r="F207" s="42" t="s">
        <v>564</v>
      </c>
      <c r="G207" s="42" t="s">
        <v>585</v>
      </c>
      <c r="H207" s="42"/>
    </row>
    <row r="208" spans="1:18" x14ac:dyDescent="0.25">
      <c r="A208" s="27"/>
      <c r="B208" s="5"/>
      <c r="C208" s="5"/>
      <c r="D208" s="42" t="s">
        <v>752</v>
      </c>
      <c r="E208" s="42" t="s">
        <v>5</v>
      </c>
      <c r="F208" s="42" t="s">
        <v>564</v>
      </c>
      <c r="G208" s="42" t="s">
        <v>586</v>
      </c>
      <c r="H208" s="42"/>
    </row>
    <row r="209" spans="1:18" ht="28" x14ac:dyDescent="0.25">
      <c r="A209" s="27"/>
      <c r="B209" s="5"/>
      <c r="C209" s="5"/>
      <c r="D209" s="42" t="s">
        <v>754</v>
      </c>
      <c r="E209" s="42" t="s">
        <v>5</v>
      </c>
      <c r="F209" s="42" t="s">
        <v>587</v>
      </c>
      <c r="G209" s="97" t="s">
        <v>759</v>
      </c>
      <c r="H209" s="31"/>
    </row>
    <row r="210" spans="1:18" x14ac:dyDescent="0.25">
      <c r="A210" s="27"/>
      <c r="B210" s="5"/>
      <c r="C210" s="5"/>
      <c r="D210" s="42" t="s">
        <v>754</v>
      </c>
      <c r="E210" s="5" t="s">
        <v>4</v>
      </c>
      <c r="F210" s="42" t="s">
        <v>564</v>
      </c>
      <c r="G210" s="42" t="s">
        <v>582</v>
      </c>
      <c r="H210" s="66" t="s">
        <v>694</v>
      </c>
    </row>
    <row r="211" spans="1:18" s="1" customFormat="1" x14ac:dyDescent="0.25">
      <c r="A211" s="27"/>
      <c r="B211" s="5"/>
      <c r="C211" s="5"/>
      <c r="D211" s="42" t="s">
        <v>583</v>
      </c>
      <c r="E211" s="42" t="s">
        <v>212</v>
      </c>
      <c r="F211" s="42" t="s">
        <v>564</v>
      </c>
      <c r="G211" s="42" t="s">
        <v>582</v>
      </c>
      <c r="H211" s="42" t="s">
        <v>213</v>
      </c>
      <c r="I211" s="5"/>
      <c r="J211" s="5"/>
      <c r="K211" s="5"/>
      <c r="L211" s="5"/>
      <c r="M211" s="5"/>
      <c r="N211" s="5"/>
      <c r="O211" s="5"/>
      <c r="P211" s="5"/>
      <c r="Q211" s="5"/>
      <c r="R211" s="5"/>
    </row>
    <row r="212" spans="1:18" x14ac:dyDescent="0.25">
      <c r="A212" s="27"/>
      <c r="B212" s="42"/>
      <c r="C212" s="5"/>
      <c r="D212" s="42" t="s">
        <v>754</v>
      </c>
      <c r="E212" s="42" t="s">
        <v>5</v>
      </c>
      <c r="F212" s="42" t="s">
        <v>564</v>
      </c>
      <c r="G212" s="42" t="s">
        <v>585</v>
      </c>
      <c r="H212" s="42"/>
    </row>
    <row r="213" spans="1:18" x14ac:dyDescent="0.25">
      <c r="A213" s="27"/>
      <c r="B213" s="42"/>
      <c r="C213" s="42"/>
      <c r="D213" s="42" t="s">
        <v>754</v>
      </c>
      <c r="E213" s="42" t="s">
        <v>5</v>
      </c>
      <c r="F213" s="42" t="s">
        <v>564</v>
      </c>
      <c r="G213" s="42" t="s">
        <v>586</v>
      </c>
      <c r="H213" s="42"/>
    </row>
    <row r="214" spans="1:18" ht="28" x14ac:dyDescent="0.25">
      <c r="A214" s="27"/>
      <c r="B214" s="5"/>
      <c r="C214" s="5"/>
      <c r="D214" s="42" t="s">
        <v>755</v>
      </c>
      <c r="E214" s="42" t="s">
        <v>5</v>
      </c>
      <c r="F214" s="42" t="s">
        <v>587</v>
      </c>
      <c r="G214" s="97" t="s">
        <v>750</v>
      </c>
      <c r="H214" s="31"/>
    </row>
    <row r="215" spans="1:18" x14ac:dyDescent="0.25">
      <c r="A215" s="27"/>
      <c r="B215" s="5"/>
      <c r="C215" s="5"/>
      <c r="D215" s="42" t="s">
        <v>755</v>
      </c>
      <c r="E215" s="5" t="s">
        <v>4</v>
      </c>
      <c r="F215" s="42" t="s">
        <v>564</v>
      </c>
      <c r="G215" s="42" t="s">
        <v>582</v>
      </c>
      <c r="H215" s="66" t="s">
        <v>771</v>
      </c>
    </row>
    <row r="216" spans="1:18" s="1" customFormat="1" x14ac:dyDescent="0.25">
      <c r="A216" s="27"/>
      <c r="B216" s="5"/>
      <c r="C216" s="5"/>
      <c r="D216" s="42" t="s">
        <v>583</v>
      </c>
      <c r="E216" s="42" t="s">
        <v>212</v>
      </c>
      <c r="F216" s="42" t="s">
        <v>564</v>
      </c>
      <c r="G216" s="42" t="s">
        <v>582</v>
      </c>
      <c r="H216" s="42" t="s">
        <v>213</v>
      </c>
      <c r="I216" s="5"/>
      <c r="J216" s="5"/>
      <c r="K216" s="5"/>
      <c r="L216" s="5"/>
      <c r="M216" s="5"/>
      <c r="N216" s="5"/>
      <c r="O216" s="5"/>
      <c r="P216" s="5"/>
      <c r="Q216" s="5"/>
      <c r="R216" s="5"/>
    </row>
    <row r="217" spans="1:18" x14ac:dyDescent="0.25">
      <c r="A217" s="27"/>
      <c r="B217" s="42"/>
      <c r="C217" s="42"/>
      <c r="D217" s="42" t="s">
        <v>755</v>
      </c>
      <c r="E217" s="42" t="s">
        <v>5</v>
      </c>
      <c r="F217" s="42" t="s">
        <v>564</v>
      </c>
      <c r="G217" s="42" t="s">
        <v>585</v>
      </c>
      <c r="H217" s="42"/>
    </row>
    <row r="218" spans="1:18" x14ac:dyDescent="0.25">
      <c r="A218" s="27"/>
      <c r="B218" s="5"/>
      <c r="C218" s="5"/>
      <c r="D218" s="42" t="s">
        <v>755</v>
      </c>
      <c r="E218" s="42" t="s">
        <v>5</v>
      </c>
      <c r="F218" s="42" t="s">
        <v>564</v>
      </c>
      <c r="G218" s="42" t="s">
        <v>586</v>
      </c>
      <c r="H218" s="42"/>
    </row>
    <row r="219" spans="1:18" ht="28" x14ac:dyDescent="0.25">
      <c r="A219" s="27"/>
      <c r="B219" s="5"/>
      <c r="C219" s="5"/>
      <c r="D219" s="42" t="s">
        <v>756</v>
      </c>
      <c r="E219" s="42" t="s">
        <v>5</v>
      </c>
      <c r="F219" s="42" t="s">
        <v>587</v>
      </c>
      <c r="G219" s="97" t="s">
        <v>757</v>
      </c>
      <c r="H219" s="31"/>
    </row>
    <row r="220" spans="1:18" x14ac:dyDescent="0.25">
      <c r="A220" s="27"/>
      <c r="B220" s="5"/>
      <c r="C220" s="5"/>
      <c r="D220" s="42" t="s">
        <v>756</v>
      </c>
      <c r="E220" s="5" t="s">
        <v>4</v>
      </c>
      <c r="F220" s="42" t="s">
        <v>564</v>
      </c>
      <c r="G220" s="42" t="s">
        <v>582</v>
      </c>
      <c r="H220" s="66" t="s">
        <v>772</v>
      </c>
    </row>
    <row r="221" spans="1:18" s="1" customFormat="1" x14ac:dyDescent="0.25">
      <c r="A221" s="27"/>
      <c r="B221" s="5"/>
      <c r="C221" s="5"/>
      <c r="D221" s="42" t="s">
        <v>583</v>
      </c>
      <c r="E221" s="42" t="s">
        <v>212</v>
      </c>
      <c r="F221" s="42" t="s">
        <v>564</v>
      </c>
      <c r="G221" s="42" t="s">
        <v>582</v>
      </c>
      <c r="H221" s="42" t="s">
        <v>213</v>
      </c>
      <c r="I221" s="5"/>
      <c r="J221" s="5"/>
      <c r="K221" s="5"/>
      <c r="L221" s="5"/>
      <c r="M221" s="5"/>
      <c r="N221" s="5"/>
      <c r="O221" s="5"/>
      <c r="P221" s="5"/>
      <c r="Q221" s="5"/>
      <c r="R221" s="5"/>
    </row>
    <row r="222" spans="1:18" ht="15" customHeight="1" x14ac:dyDescent="0.25">
      <c r="A222" s="27"/>
      <c r="B222" s="5"/>
      <c r="C222" s="5"/>
      <c r="D222" s="42" t="s">
        <v>756</v>
      </c>
      <c r="E222" s="42" t="s">
        <v>5</v>
      </c>
      <c r="F222" s="42" t="s">
        <v>564</v>
      </c>
      <c r="G222" s="42" t="s">
        <v>585</v>
      </c>
      <c r="H222" s="42"/>
    </row>
    <row r="223" spans="1:18" x14ac:dyDescent="0.25">
      <c r="A223" s="27"/>
      <c r="B223" s="5"/>
      <c r="C223" s="5"/>
      <c r="D223" s="42" t="s">
        <v>756</v>
      </c>
      <c r="E223" s="42" t="s">
        <v>5</v>
      </c>
      <c r="F223" s="42" t="s">
        <v>564</v>
      </c>
      <c r="G223" s="42" t="s">
        <v>586</v>
      </c>
      <c r="H223" s="42"/>
    </row>
    <row r="224" spans="1:18" ht="28" x14ac:dyDescent="0.25">
      <c r="A224" s="27">
        <v>1</v>
      </c>
      <c r="B224" s="42" t="s">
        <v>860</v>
      </c>
      <c r="C224" s="42" t="s">
        <v>845</v>
      </c>
      <c r="D224" s="42" t="s">
        <v>764</v>
      </c>
      <c r="E224" s="42" t="s">
        <v>5</v>
      </c>
      <c r="F224" s="42" t="s">
        <v>587</v>
      </c>
      <c r="G224" s="95" t="s">
        <v>763</v>
      </c>
      <c r="H224" s="66"/>
    </row>
    <row r="225" spans="1:18" ht="28" x14ac:dyDescent="0.25">
      <c r="D225" s="42" t="s">
        <v>767</v>
      </c>
      <c r="E225" s="42" t="s">
        <v>86</v>
      </c>
      <c r="F225" s="42" t="s">
        <v>587</v>
      </c>
      <c r="G225" s="95" t="s">
        <v>768</v>
      </c>
      <c r="H225" s="42" t="s">
        <v>766</v>
      </c>
    </row>
    <row r="226" spans="1:18" ht="28" x14ac:dyDescent="0.25">
      <c r="D226" s="42" t="s">
        <v>843</v>
      </c>
      <c r="E226" s="42" t="s">
        <v>351</v>
      </c>
      <c r="F226" s="42"/>
      <c r="G226" s="95"/>
      <c r="H226" s="65">
        <v>2</v>
      </c>
    </row>
    <row r="227" spans="1:18" ht="28" x14ac:dyDescent="0.25">
      <c r="A227" s="27">
        <v>1</v>
      </c>
      <c r="B227" s="42" t="s">
        <v>783</v>
      </c>
      <c r="C227" s="42" t="s">
        <v>782</v>
      </c>
      <c r="D227" s="42"/>
      <c r="E227" s="42" t="s">
        <v>452</v>
      </c>
      <c r="F227" s="42"/>
      <c r="G227" s="95"/>
      <c r="H227" s="65">
        <v>2</v>
      </c>
    </row>
    <row r="228" spans="1:18" ht="28" x14ac:dyDescent="0.25">
      <c r="A228" s="27"/>
      <c r="B228" s="42"/>
      <c r="C228" s="42"/>
      <c r="D228" s="42" t="s">
        <v>780</v>
      </c>
      <c r="E228" s="42" t="s">
        <v>146</v>
      </c>
      <c r="F228" s="42" t="s">
        <v>587</v>
      </c>
      <c r="G228" s="95" t="s">
        <v>785</v>
      </c>
      <c r="H228" s="42" t="s">
        <v>784</v>
      </c>
    </row>
    <row r="229" spans="1:18" s="1" customFormat="1" ht="28" x14ac:dyDescent="0.25">
      <c r="A229" s="27"/>
      <c r="B229" s="5"/>
      <c r="C229" s="5"/>
      <c r="D229" s="42" t="s">
        <v>598</v>
      </c>
      <c r="E229" s="5" t="s">
        <v>18</v>
      </c>
      <c r="F229" s="42" t="s">
        <v>587</v>
      </c>
      <c r="G229" s="95" t="s">
        <v>834</v>
      </c>
      <c r="H229" s="42"/>
      <c r="I229" s="5"/>
      <c r="J229" s="5"/>
      <c r="K229" s="5"/>
      <c r="L229" s="5"/>
      <c r="M229" s="5"/>
      <c r="N229" s="5"/>
      <c r="O229" s="5"/>
      <c r="P229" s="5"/>
      <c r="Q229" s="5"/>
      <c r="R229" s="5"/>
    </row>
    <row r="230" spans="1:18" s="1" customFormat="1" ht="28" x14ac:dyDescent="0.25">
      <c r="A230" s="27"/>
      <c r="B230" s="5"/>
      <c r="C230" s="5"/>
      <c r="D230" s="42" t="s">
        <v>838</v>
      </c>
      <c r="E230" s="42" t="s">
        <v>528</v>
      </c>
      <c r="F230" s="42" t="s">
        <v>587</v>
      </c>
      <c r="G230" s="95" t="s">
        <v>788</v>
      </c>
      <c r="H230" s="65">
        <v>1</v>
      </c>
      <c r="I230" s="92"/>
      <c r="J230" s="92"/>
      <c r="K230" s="92"/>
      <c r="L230" s="92"/>
      <c r="M230" s="92"/>
      <c r="N230" s="92"/>
      <c r="O230" s="92"/>
      <c r="P230" s="92"/>
      <c r="Q230" s="92"/>
      <c r="R230" s="92"/>
    </row>
    <row r="231" spans="1:18" x14ac:dyDescent="0.25">
      <c r="A231" s="27"/>
      <c r="B231" s="42"/>
      <c r="C231" s="42"/>
      <c r="D231" s="42" t="s">
        <v>790</v>
      </c>
      <c r="E231" s="42" t="s">
        <v>5</v>
      </c>
      <c r="F231" s="42" t="s">
        <v>587</v>
      </c>
      <c r="G231" s="95" t="s">
        <v>840</v>
      </c>
      <c r="H231" s="42"/>
    </row>
    <row r="232" spans="1:18" x14ac:dyDescent="0.25">
      <c r="A232" s="27"/>
      <c r="B232" s="42"/>
      <c r="C232" s="42"/>
      <c r="D232" s="42" t="s">
        <v>815</v>
      </c>
      <c r="E232" s="42" t="s">
        <v>19</v>
      </c>
      <c r="F232" s="42"/>
      <c r="G232" s="95"/>
      <c r="H232" s="42"/>
    </row>
    <row r="233" spans="1:18" x14ac:dyDescent="0.25">
      <c r="A233" s="27"/>
      <c r="B233" s="42"/>
      <c r="C233" s="42"/>
      <c r="D233" s="42" t="s">
        <v>791</v>
      </c>
      <c r="E233" s="42" t="s">
        <v>5</v>
      </c>
      <c r="F233" s="42" t="s">
        <v>587</v>
      </c>
      <c r="G233" s="95" t="s">
        <v>793</v>
      </c>
      <c r="H233" s="42"/>
    </row>
    <row r="234" spans="1:18" ht="28" x14ac:dyDescent="0.25">
      <c r="A234" s="27">
        <v>1</v>
      </c>
      <c r="B234" s="42" t="s">
        <v>795</v>
      </c>
      <c r="C234" s="42" t="s">
        <v>794</v>
      </c>
      <c r="D234" s="42" t="s">
        <v>842</v>
      </c>
      <c r="E234" s="42" t="s">
        <v>146</v>
      </c>
      <c r="F234" s="42" t="s">
        <v>587</v>
      </c>
      <c r="G234" s="95" t="s">
        <v>792</v>
      </c>
      <c r="H234" s="42" t="s">
        <v>796</v>
      </c>
    </row>
    <row r="235" spans="1:18" ht="28" x14ac:dyDescent="0.25">
      <c r="A235" s="27"/>
      <c r="B235" s="42"/>
      <c r="C235" s="42"/>
      <c r="D235" s="42" t="s">
        <v>799</v>
      </c>
      <c r="E235" s="42" t="s">
        <v>299</v>
      </c>
      <c r="F235" s="42"/>
      <c r="G235" s="95"/>
      <c r="H235" s="42"/>
    </row>
    <row r="236" spans="1:18" ht="28" x14ac:dyDescent="0.25">
      <c r="A236" s="27">
        <v>1</v>
      </c>
      <c r="B236" s="42" t="s">
        <v>778</v>
      </c>
      <c r="C236" s="42" t="s">
        <v>775</v>
      </c>
      <c r="D236" s="42" t="s">
        <v>776</v>
      </c>
      <c r="E236" s="42" t="s">
        <v>604</v>
      </c>
      <c r="F236" s="42" t="s">
        <v>587</v>
      </c>
      <c r="G236" s="95" t="s">
        <v>786</v>
      </c>
      <c r="H236" s="66" t="s">
        <v>841</v>
      </c>
    </row>
    <row r="237" spans="1:18" x14ac:dyDescent="0.25">
      <c r="A237" s="42"/>
      <c r="B237" s="42"/>
      <c r="C237" s="42"/>
      <c r="D237" s="42" t="s">
        <v>802</v>
      </c>
      <c r="E237" s="42" t="s">
        <v>5</v>
      </c>
      <c r="F237" s="42" t="s">
        <v>587</v>
      </c>
      <c r="G237" s="95" t="s">
        <v>802</v>
      </c>
      <c r="H237" s="42"/>
    </row>
    <row r="238" spans="1:18" ht="28" x14ac:dyDescent="0.25">
      <c r="A238" s="27">
        <v>0</v>
      </c>
      <c r="B238" s="42" t="s">
        <v>666</v>
      </c>
      <c r="C238" s="42" t="s">
        <v>938</v>
      </c>
      <c r="D238" s="42" t="s">
        <v>562</v>
      </c>
      <c r="E238" s="42" t="s">
        <v>15</v>
      </c>
      <c r="F238" s="42" t="s">
        <v>564</v>
      </c>
      <c r="G238" s="42"/>
      <c r="H238" s="76" t="s">
        <v>949</v>
      </c>
    </row>
    <row r="239" spans="1:18" x14ac:dyDescent="0.25">
      <c r="A239" s="27"/>
      <c r="B239" s="42"/>
      <c r="C239" s="42"/>
      <c r="D239" s="42" t="s">
        <v>578</v>
      </c>
      <c r="E239" s="42" t="s">
        <v>568</v>
      </c>
      <c r="F239" s="42" t="s">
        <v>564</v>
      </c>
      <c r="G239" s="42" t="s">
        <v>577</v>
      </c>
      <c r="H239" s="5"/>
    </row>
    <row r="240" spans="1:18" x14ac:dyDescent="0.25">
      <c r="A240" s="27"/>
      <c r="B240" s="42"/>
      <c r="C240" s="42"/>
      <c r="D240" s="42" t="s">
        <v>580</v>
      </c>
      <c r="E240" s="42" t="s">
        <v>5</v>
      </c>
      <c r="F240" s="42" t="s">
        <v>564</v>
      </c>
      <c r="G240" s="42" t="s">
        <v>579</v>
      </c>
      <c r="H240" s="5"/>
    </row>
    <row r="241" spans="1:8" x14ac:dyDescent="0.25">
      <c r="A241" s="27"/>
      <c r="B241" s="42"/>
      <c r="C241" s="42"/>
      <c r="D241" s="42" t="s">
        <v>581</v>
      </c>
      <c r="E241" s="42" t="s">
        <v>4</v>
      </c>
      <c r="F241" s="42" t="s">
        <v>564</v>
      </c>
      <c r="G241" s="42" t="s">
        <v>582</v>
      </c>
      <c r="H241" s="42" t="s">
        <v>609</v>
      </c>
    </row>
    <row r="242" spans="1:8" x14ac:dyDescent="0.25">
      <c r="A242" s="30"/>
      <c r="B242" s="30"/>
      <c r="C242" s="30"/>
      <c r="D242" s="42" t="s">
        <v>583</v>
      </c>
      <c r="E242" s="42" t="s">
        <v>212</v>
      </c>
      <c r="F242" s="42" t="s">
        <v>564</v>
      </c>
      <c r="G242" s="42" t="s">
        <v>582</v>
      </c>
      <c r="H242" s="42" t="s">
        <v>213</v>
      </c>
    </row>
    <row r="243" spans="1:8" x14ac:dyDescent="0.25">
      <c r="A243" s="27"/>
      <c r="B243" s="5"/>
      <c r="C243" s="42"/>
      <c r="D243" s="42" t="s">
        <v>610</v>
      </c>
      <c r="E243" s="42" t="s">
        <v>5</v>
      </c>
      <c r="F243" s="42" t="s">
        <v>564</v>
      </c>
      <c r="G243" s="42" t="s">
        <v>585</v>
      </c>
      <c r="H243" s="42"/>
    </row>
    <row r="244" spans="1:8" x14ac:dyDescent="0.25">
      <c r="A244" s="27"/>
      <c r="B244" s="5"/>
      <c r="C244" s="5"/>
      <c r="D244" s="42" t="s">
        <v>563</v>
      </c>
      <c r="E244" s="42" t="s">
        <v>5</v>
      </c>
      <c r="F244" s="42" t="s">
        <v>564</v>
      </c>
      <c r="G244" s="42" t="s">
        <v>586</v>
      </c>
      <c r="H244" s="1"/>
    </row>
    <row r="245" spans="1:8" x14ac:dyDescent="0.25">
      <c r="A245" s="27"/>
      <c r="B245" s="5"/>
      <c r="C245" s="5"/>
      <c r="D245" s="42" t="s">
        <v>567</v>
      </c>
      <c r="E245" s="42" t="s">
        <v>568</v>
      </c>
      <c r="F245" s="42" t="s">
        <v>564</v>
      </c>
      <c r="G245" s="42" t="s">
        <v>573</v>
      </c>
      <c r="H245" s="88"/>
    </row>
    <row r="246" spans="1:8" x14ac:dyDescent="0.25">
      <c r="A246" s="27"/>
      <c r="B246" s="5"/>
      <c r="C246" s="5"/>
      <c r="D246" s="42" t="s">
        <v>572</v>
      </c>
      <c r="E246" s="42" t="s">
        <v>5</v>
      </c>
      <c r="F246" s="42" t="s">
        <v>564</v>
      </c>
      <c r="G246" s="42" t="s">
        <v>574</v>
      </c>
      <c r="H246" s="88" t="s">
        <v>213</v>
      </c>
    </row>
    <row r="247" spans="1:8" x14ac:dyDescent="0.25">
      <c r="A247" s="42"/>
      <c r="B247" s="42"/>
      <c r="C247" s="42"/>
      <c r="D247" s="93" t="s">
        <v>848</v>
      </c>
      <c r="E247" s="42" t="s">
        <v>4</v>
      </c>
      <c r="F247" s="42" t="s">
        <v>587</v>
      </c>
      <c r="G247" s="95" t="s">
        <v>847</v>
      </c>
      <c r="H247" s="91" t="s">
        <v>854</v>
      </c>
    </row>
    <row r="248" spans="1:8" x14ac:dyDescent="0.25">
      <c r="A248" s="42"/>
      <c r="B248" s="42"/>
      <c r="C248" s="42"/>
      <c r="D248" s="42" t="s">
        <v>583</v>
      </c>
      <c r="E248" s="42" t="s">
        <v>212</v>
      </c>
      <c r="F248" s="42" t="s">
        <v>587</v>
      </c>
      <c r="G248" s="95" t="s">
        <v>847</v>
      </c>
      <c r="H248" s="42" t="s">
        <v>213</v>
      </c>
    </row>
    <row r="249" spans="1:8" x14ac:dyDescent="0.25">
      <c r="A249" s="42"/>
      <c r="B249" s="42"/>
      <c r="C249" s="42"/>
      <c r="D249" s="93" t="s">
        <v>939</v>
      </c>
      <c r="E249" s="42" t="s">
        <v>5</v>
      </c>
      <c r="F249" s="42" t="s">
        <v>587</v>
      </c>
      <c r="G249" s="95" t="s">
        <v>849</v>
      </c>
    </row>
    <row r="250" spans="1:8" x14ac:dyDescent="0.25">
      <c r="A250" s="42"/>
      <c r="B250" s="42"/>
      <c r="C250" s="42"/>
      <c r="D250" s="42" t="s">
        <v>940</v>
      </c>
      <c r="E250" s="42" t="s">
        <v>5</v>
      </c>
      <c r="F250" s="42" t="s">
        <v>587</v>
      </c>
      <c r="G250" s="95" t="s">
        <v>937</v>
      </c>
      <c r="H250" s="42"/>
    </row>
    <row r="251" spans="1:8" ht="28" x14ac:dyDescent="0.25">
      <c r="A251" s="42"/>
      <c r="B251" s="42"/>
      <c r="C251" s="42"/>
      <c r="D251" s="42" t="s">
        <v>944</v>
      </c>
      <c r="E251" s="42" t="s">
        <v>5</v>
      </c>
      <c r="F251" s="42" t="s">
        <v>587</v>
      </c>
      <c r="G251" s="95" t="s">
        <v>943</v>
      </c>
      <c r="H251" s="42"/>
    </row>
    <row r="252" spans="1:8" x14ac:dyDescent="0.25">
      <c r="A252" s="27">
        <v>0</v>
      </c>
      <c r="B252" s="42" t="s">
        <v>980</v>
      </c>
      <c r="C252" s="42" t="s">
        <v>947</v>
      </c>
      <c r="D252" s="42" t="s">
        <v>562</v>
      </c>
      <c r="E252" s="42" t="s">
        <v>15</v>
      </c>
      <c r="F252" s="42" t="s">
        <v>564</v>
      </c>
      <c r="G252" s="42"/>
      <c r="H252" s="76" t="s">
        <v>949</v>
      </c>
    </row>
    <row r="253" spans="1:8" x14ac:dyDescent="0.25">
      <c r="A253" s="27"/>
      <c r="B253" s="42"/>
      <c r="C253" s="42"/>
      <c r="D253" s="42" t="s">
        <v>578</v>
      </c>
      <c r="E253" s="42" t="s">
        <v>568</v>
      </c>
      <c r="F253" s="42" t="s">
        <v>564</v>
      </c>
      <c r="G253" s="42" t="s">
        <v>577</v>
      </c>
      <c r="H253" s="5"/>
    </row>
    <row r="254" spans="1:8" x14ac:dyDescent="0.25">
      <c r="A254" s="27"/>
      <c r="B254" s="42"/>
      <c r="C254" s="42"/>
      <c r="D254" s="42" t="s">
        <v>580</v>
      </c>
      <c r="E254" s="42" t="s">
        <v>5</v>
      </c>
      <c r="F254" s="42" t="s">
        <v>564</v>
      </c>
      <c r="G254" s="42" t="s">
        <v>579</v>
      </c>
      <c r="H254" s="5"/>
    </row>
    <row r="255" spans="1:8" x14ac:dyDescent="0.25">
      <c r="A255" s="27"/>
      <c r="B255" s="42"/>
      <c r="C255" s="42"/>
      <c r="D255" s="42" t="s">
        <v>581</v>
      </c>
      <c r="E255" s="42" t="s">
        <v>4</v>
      </c>
      <c r="F255" s="42" t="s">
        <v>564</v>
      </c>
      <c r="G255" s="42" t="s">
        <v>582</v>
      </c>
      <c r="H255" s="42" t="s">
        <v>779</v>
      </c>
    </row>
    <row r="256" spans="1:8" x14ac:dyDescent="0.25">
      <c r="A256" s="30"/>
      <c r="B256" s="30"/>
      <c r="C256" s="30"/>
      <c r="D256" s="42" t="s">
        <v>583</v>
      </c>
      <c r="E256" s="42" t="s">
        <v>212</v>
      </c>
      <c r="F256" s="42" t="s">
        <v>564</v>
      </c>
      <c r="G256" s="42" t="s">
        <v>582</v>
      </c>
      <c r="H256" s="42" t="s">
        <v>213</v>
      </c>
    </row>
    <row r="257" spans="1:18" x14ac:dyDescent="0.25">
      <c r="A257" s="27"/>
      <c r="B257" s="5"/>
      <c r="C257" s="42"/>
      <c r="D257" s="42" t="s">
        <v>610</v>
      </c>
      <c r="E257" s="42" t="s">
        <v>5</v>
      </c>
      <c r="F257" s="42" t="s">
        <v>564</v>
      </c>
      <c r="G257" s="42" t="s">
        <v>585</v>
      </c>
      <c r="H257" s="42"/>
    </row>
    <row r="258" spans="1:18" x14ac:dyDescent="0.25">
      <c r="A258" s="27"/>
      <c r="B258" s="5"/>
      <c r="C258" s="5"/>
      <c r="D258" s="42" t="s">
        <v>563</v>
      </c>
      <c r="E258" s="42" t="s">
        <v>5</v>
      </c>
      <c r="F258" s="42" t="s">
        <v>564</v>
      </c>
      <c r="G258" s="42" t="s">
        <v>586</v>
      </c>
      <c r="H258" s="1"/>
    </row>
    <row r="259" spans="1:18" x14ac:dyDescent="0.25">
      <c r="A259" s="27"/>
      <c r="B259" s="5"/>
      <c r="C259" s="5"/>
      <c r="D259" s="42" t="s">
        <v>567</v>
      </c>
      <c r="E259" s="42" t="s">
        <v>568</v>
      </c>
      <c r="F259" s="42" t="s">
        <v>564</v>
      </c>
      <c r="G259" s="42" t="s">
        <v>573</v>
      </c>
      <c r="H259" s="88"/>
    </row>
    <row r="260" spans="1:18" x14ac:dyDescent="0.25">
      <c r="A260" s="27"/>
      <c r="B260" s="5"/>
      <c r="C260" s="5"/>
      <c r="D260" s="42" t="s">
        <v>572</v>
      </c>
      <c r="E260" s="42" t="s">
        <v>5</v>
      </c>
      <c r="F260" s="42" t="s">
        <v>564</v>
      </c>
      <c r="G260" s="42" t="s">
        <v>574</v>
      </c>
      <c r="H260" s="88" t="s">
        <v>213</v>
      </c>
    </row>
    <row r="261" spans="1:18" x14ac:dyDescent="0.25">
      <c r="A261" s="42"/>
      <c r="B261" s="42"/>
      <c r="C261" s="42"/>
      <c r="D261" s="93" t="s">
        <v>848</v>
      </c>
      <c r="E261" s="42" t="s">
        <v>4</v>
      </c>
      <c r="F261" s="42" t="s">
        <v>587</v>
      </c>
      <c r="G261" s="95" t="s">
        <v>847</v>
      </c>
      <c r="H261" s="91" t="s">
        <v>854</v>
      </c>
    </row>
    <row r="262" spans="1:18" x14ac:dyDescent="0.25">
      <c r="A262" s="42"/>
      <c r="B262" s="42"/>
      <c r="C262" s="42"/>
      <c r="D262" s="42" t="s">
        <v>583</v>
      </c>
      <c r="E262" s="42" t="s">
        <v>212</v>
      </c>
      <c r="F262" s="42" t="s">
        <v>587</v>
      </c>
      <c r="G262" s="95" t="s">
        <v>847</v>
      </c>
      <c r="H262" s="42" t="s">
        <v>213</v>
      </c>
    </row>
    <row r="263" spans="1:18" x14ac:dyDescent="0.25">
      <c r="A263" s="42"/>
      <c r="B263" s="42"/>
      <c r="C263" s="42"/>
      <c r="D263" s="93" t="s">
        <v>939</v>
      </c>
      <c r="E263" s="42" t="s">
        <v>5</v>
      </c>
      <c r="F263" s="42" t="s">
        <v>587</v>
      </c>
      <c r="G263" s="95" t="s">
        <v>849</v>
      </c>
    </row>
    <row r="264" spans="1:18" x14ac:dyDescent="0.25">
      <c r="A264" s="42"/>
      <c r="B264" s="42"/>
      <c r="C264" s="42"/>
      <c r="D264" s="42" t="s">
        <v>946</v>
      </c>
      <c r="E264" s="42" t="s">
        <v>5</v>
      </c>
      <c r="F264" s="42" t="s">
        <v>587</v>
      </c>
      <c r="G264" s="95" t="s">
        <v>946</v>
      </c>
      <c r="H264" s="42"/>
    </row>
    <row r="265" spans="1:18" ht="28" x14ac:dyDescent="0.25">
      <c r="A265" s="27">
        <v>0</v>
      </c>
      <c r="B265" s="42" t="s">
        <v>863</v>
      </c>
      <c r="C265" s="42" t="s">
        <v>864</v>
      </c>
      <c r="D265" s="42" t="s">
        <v>562</v>
      </c>
      <c r="E265" s="42" t="s">
        <v>15</v>
      </c>
      <c r="F265" s="42" t="s">
        <v>564</v>
      </c>
      <c r="G265" s="42"/>
      <c r="H265" s="76" t="s">
        <v>949</v>
      </c>
    </row>
    <row r="266" spans="1:18" x14ac:dyDescent="0.25">
      <c r="A266" s="42"/>
      <c r="B266" s="42"/>
      <c r="C266" s="42"/>
      <c r="D266" s="42" t="s">
        <v>578</v>
      </c>
      <c r="E266" s="42" t="s">
        <v>568</v>
      </c>
      <c r="F266" s="42" t="s">
        <v>564</v>
      </c>
      <c r="G266" s="42" t="s">
        <v>577</v>
      </c>
      <c r="H266" s="5"/>
    </row>
    <row r="267" spans="1:18" x14ac:dyDescent="0.25">
      <c r="A267" s="42"/>
      <c r="B267" s="42"/>
      <c r="C267" s="42"/>
      <c r="D267" s="42" t="s">
        <v>580</v>
      </c>
      <c r="E267" s="42" t="s">
        <v>5</v>
      </c>
      <c r="F267" s="42" t="s">
        <v>564</v>
      </c>
      <c r="G267" s="42" t="s">
        <v>579</v>
      </c>
      <c r="H267" s="5"/>
    </row>
    <row r="268" spans="1:18" x14ac:dyDescent="0.25">
      <c r="A268" s="42"/>
      <c r="B268" s="42"/>
      <c r="C268" s="42"/>
      <c r="D268" s="42" t="s">
        <v>581</v>
      </c>
      <c r="E268" s="42" t="s">
        <v>4</v>
      </c>
      <c r="F268" s="42" t="s">
        <v>564</v>
      </c>
      <c r="G268" s="42" t="s">
        <v>582</v>
      </c>
      <c r="H268" s="42" t="s">
        <v>771</v>
      </c>
    </row>
    <row r="269" spans="1:18" x14ac:dyDescent="0.25">
      <c r="A269" s="42"/>
      <c r="B269" s="42"/>
      <c r="C269" s="42"/>
      <c r="D269" s="42" t="s">
        <v>583</v>
      </c>
      <c r="E269" s="42" t="s">
        <v>212</v>
      </c>
      <c r="F269" s="42" t="s">
        <v>564</v>
      </c>
      <c r="G269" s="42" t="s">
        <v>582</v>
      </c>
      <c r="H269" s="42" t="s">
        <v>213</v>
      </c>
    </row>
    <row r="270" spans="1:18" x14ac:dyDescent="0.25">
      <c r="A270" s="42"/>
      <c r="B270" s="42"/>
      <c r="C270" s="42"/>
      <c r="D270" s="42" t="s">
        <v>610</v>
      </c>
      <c r="E270" s="42" t="s">
        <v>5</v>
      </c>
      <c r="F270" s="42" t="s">
        <v>564</v>
      </c>
      <c r="G270" s="42" t="s">
        <v>585</v>
      </c>
      <c r="H270" s="42"/>
    </row>
    <row r="271" spans="1:18" x14ac:dyDescent="0.25">
      <c r="A271" s="42"/>
      <c r="B271" s="42"/>
      <c r="C271" s="42"/>
      <c r="D271" s="42" t="s">
        <v>563</v>
      </c>
      <c r="E271" s="42" t="s">
        <v>5</v>
      </c>
      <c r="F271" s="42" t="s">
        <v>564</v>
      </c>
      <c r="G271" s="42" t="s">
        <v>586</v>
      </c>
      <c r="H271" s="1"/>
    </row>
    <row r="272" spans="1:18" s="1" customFormat="1" x14ac:dyDescent="0.25">
      <c r="A272" s="42"/>
      <c r="B272" s="42"/>
      <c r="C272" s="42"/>
      <c r="D272" s="42" t="s">
        <v>567</v>
      </c>
      <c r="E272" s="42" t="s">
        <v>568</v>
      </c>
      <c r="F272" s="42" t="s">
        <v>564</v>
      </c>
      <c r="G272" s="42" t="s">
        <v>573</v>
      </c>
      <c r="H272" s="88"/>
      <c r="I272" s="5"/>
      <c r="J272" s="5"/>
      <c r="K272" s="5"/>
      <c r="L272" s="5"/>
      <c r="M272" s="5"/>
      <c r="N272" s="5"/>
      <c r="O272" s="5"/>
      <c r="P272" s="5"/>
      <c r="Q272" s="5"/>
      <c r="R272" s="5"/>
    </row>
    <row r="273" spans="1:18" s="30" customFormat="1" x14ac:dyDescent="0.25">
      <c r="A273" s="42"/>
      <c r="B273" s="42"/>
      <c r="C273" s="42"/>
      <c r="D273" s="42" t="s">
        <v>572</v>
      </c>
      <c r="E273" s="42" t="s">
        <v>5</v>
      </c>
      <c r="F273" s="42" t="s">
        <v>564</v>
      </c>
      <c r="G273" s="42" t="s">
        <v>574</v>
      </c>
      <c r="H273" s="88" t="s">
        <v>213</v>
      </c>
      <c r="I273" s="29"/>
      <c r="J273" s="29"/>
      <c r="K273" s="29"/>
      <c r="L273" s="29"/>
      <c r="M273" s="29"/>
      <c r="N273" s="29"/>
      <c r="O273" s="29"/>
      <c r="P273" s="29"/>
      <c r="Q273" s="29"/>
      <c r="R273" s="29"/>
    </row>
    <row r="274" spans="1:18" x14ac:dyDescent="0.25">
      <c r="A274" s="42"/>
      <c r="B274" s="42"/>
      <c r="C274" s="42"/>
      <c r="D274" s="93" t="s">
        <v>848</v>
      </c>
      <c r="E274" s="42" t="s">
        <v>4</v>
      </c>
      <c r="F274" s="42" t="s">
        <v>587</v>
      </c>
      <c r="G274" s="42" t="s">
        <v>847</v>
      </c>
      <c r="H274" s="91" t="s">
        <v>854</v>
      </c>
    </row>
    <row r="275" spans="1:18" x14ac:dyDescent="0.25">
      <c r="A275" s="42"/>
      <c r="B275" s="42"/>
      <c r="C275" s="42"/>
      <c r="D275" s="42" t="s">
        <v>583</v>
      </c>
      <c r="E275" s="42" t="s">
        <v>212</v>
      </c>
      <c r="F275" s="42" t="s">
        <v>587</v>
      </c>
      <c r="G275" s="42" t="s">
        <v>847</v>
      </c>
      <c r="H275" s="42" t="s">
        <v>213</v>
      </c>
    </row>
    <row r="276" spans="1:18" x14ac:dyDescent="0.25">
      <c r="A276" s="42"/>
      <c r="B276" s="42"/>
      <c r="C276" s="42"/>
      <c r="D276" s="93" t="s">
        <v>850</v>
      </c>
      <c r="E276" s="42" t="s">
        <v>5</v>
      </c>
      <c r="F276" s="42" t="s">
        <v>587</v>
      </c>
      <c r="G276" s="95" t="s">
        <v>849</v>
      </c>
    </row>
    <row r="277" spans="1:18" x14ac:dyDescent="0.25">
      <c r="A277" s="42"/>
      <c r="B277" s="42"/>
      <c r="C277" s="42"/>
      <c r="D277" s="93" t="s">
        <v>859</v>
      </c>
      <c r="E277" s="42" t="s">
        <v>5</v>
      </c>
      <c r="F277" s="42" t="s">
        <v>587</v>
      </c>
      <c r="G277" s="95" t="s">
        <v>856</v>
      </c>
    </row>
    <row r="278" spans="1:18" ht="28" x14ac:dyDescent="0.25">
      <c r="A278" s="27">
        <v>0</v>
      </c>
      <c r="B278" s="42" t="s">
        <v>861</v>
      </c>
      <c r="C278" s="42" t="s">
        <v>862</v>
      </c>
      <c r="D278" s="93" t="s">
        <v>858</v>
      </c>
      <c r="E278" s="42" t="s">
        <v>5</v>
      </c>
      <c r="F278" s="42" t="s">
        <v>587</v>
      </c>
      <c r="G278" s="95" t="s">
        <v>763</v>
      </c>
    </row>
    <row r="279" spans="1:18" ht="28" x14ac:dyDescent="0.25">
      <c r="A279" s="42"/>
      <c r="B279" s="42"/>
      <c r="C279" s="42"/>
      <c r="D279" s="42" t="s">
        <v>767</v>
      </c>
      <c r="E279" s="42" t="s">
        <v>86</v>
      </c>
      <c r="F279" s="42" t="s">
        <v>587</v>
      </c>
      <c r="G279" s="95" t="s">
        <v>768</v>
      </c>
      <c r="H279" s="42" t="s">
        <v>865</v>
      </c>
    </row>
    <row r="280" spans="1:18" ht="28" x14ac:dyDescent="0.25">
      <c r="A280" s="42"/>
      <c r="B280" s="42"/>
      <c r="C280" s="42"/>
      <c r="D280" s="42" t="s">
        <v>843</v>
      </c>
      <c r="E280" s="42" t="s">
        <v>351</v>
      </c>
      <c r="F280" s="42"/>
      <c r="G280" s="95"/>
      <c r="H280" s="65">
        <v>2</v>
      </c>
    </row>
    <row r="281" spans="1:18" ht="28" x14ac:dyDescent="0.25">
      <c r="A281" s="27">
        <v>0</v>
      </c>
      <c r="B281" s="42" t="s">
        <v>866</v>
      </c>
      <c r="C281" s="42" t="s">
        <v>867</v>
      </c>
      <c r="D281" s="42"/>
      <c r="E281" s="42" t="s">
        <v>452</v>
      </c>
      <c r="F281" s="42"/>
      <c r="G281" s="95"/>
      <c r="H281" s="65">
        <v>2</v>
      </c>
    </row>
    <row r="282" spans="1:18" ht="28" x14ac:dyDescent="0.25">
      <c r="A282" s="42"/>
      <c r="B282" s="42"/>
      <c r="C282" s="42"/>
      <c r="D282" s="42" t="s">
        <v>780</v>
      </c>
      <c r="E282" s="42" t="s">
        <v>146</v>
      </c>
      <c r="F282" s="42" t="s">
        <v>587</v>
      </c>
      <c r="G282" s="95" t="s">
        <v>785</v>
      </c>
      <c r="H282" s="42" t="s">
        <v>868</v>
      </c>
    </row>
    <row r="283" spans="1:18" ht="28" x14ac:dyDescent="0.25">
      <c r="A283" s="42"/>
      <c r="B283" s="42"/>
      <c r="C283" s="42"/>
      <c r="D283" s="42" t="s">
        <v>598</v>
      </c>
      <c r="E283" s="5" t="s">
        <v>18</v>
      </c>
      <c r="F283" s="42" t="s">
        <v>587</v>
      </c>
      <c r="G283" s="95" t="s">
        <v>834</v>
      </c>
      <c r="H283" s="42"/>
    </row>
    <row r="284" spans="1:18" ht="28" x14ac:dyDescent="0.25">
      <c r="A284" s="42"/>
      <c r="B284" s="42"/>
      <c r="C284" s="42"/>
      <c r="D284" s="42" t="s">
        <v>838</v>
      </c>
      <c r="E284" s="5" t="s">
        <v>837</v>
      </c>
      <c r="F284" s="42" t="s">
        <v>587</v>
      </c>
      <c r="G284" s="95" t="s">
        <v>788</v>
      </c>
      <c r="H284" s="65">
        <v>1</v>
      </c>
    </row>
    <row r="285" spans="1:18" x14ac:dyDescent="0.25">
      <c r="A285" s="42"/>
      <c r="B285" s="42"/>
      <c r="C285" s="42"/>
      <c r="D285" s="42" t="s">
        <v>790</v>
      </c>
      <c r="E285" s="42" t="s">
        <v>5</v>
      </c>
      <c r="F285" s="42" t="s">
        <v>587</v>
      </c>
      <c r="G285" s="95" t="s">
        <v>840</v>
      </c>
      <c r="H285" s="42"/>
    </row>
    <row r="286" spans="1:18" x14ac:dyDescent="0.25">
      <c r="A286" s="42"/>
      <c r="B286" s="42"/>
      <c r="C286" s="42"/>
      <c r="D286" s="42" t="s">
        <v>815</v>
      </c>
      <c r="E286" s="42" t="s">
        <v>19</v>
      </c>
      <c r="F286" s="42"/>
      <c r="G286" s="95"/>
      <c r="H286" s="42"/>
    </row>
    <row r="287" spans="1:18" x14ac:dyDescent="0.25">
      <c r="A287" s="42"/>
      <c r="B287" s="42"/>
      <c r="C287" s="42"/>
      <c r="D287" s="42" t="s">
        <v>791</v>
      </c>
      <c r="E287" s="42" t="s">
        <v>5</v>
      </c>
      <c r="F287" s="42" t="s">
        <v>587</v>
      </c>
      <c r="G287" s="95" t="s">
        <v>793</v>
      </c>
      <c r="H287" s="42"/>
    </row>
    <row r="288" spans="1:18" x14ac:dyDescent="0.25">
      <c r="A288" s="42"/>
      <c r="B288" s="42"/>
      <c r="C288" s="42"/>
    </row>
    <row r="289" spans="1:3" x14ac:dyDescent="0.25">
      <c r="A289" s="42"/>
      <c r="B289" s="42"/>
      <c r="C289" s="42"/>
    </row>
    <row r="290" spans="1:3" x14ac:dyDescent="0.25">
      <c r="A290" s="42"/>
      <c r="B290" s="42"/>
      <c r="C290" s="42"/>
    </row>
    <row r="291" spans="1:3" x14ac:dyDescent="0.25">
      <c r="A291" s="42"/>
      <c r="B291" s="42"/>
      <c r="C291" s="42"/>
    </row>
    <row r="292" spans="1:3" x14ac:dyDescent="0.25">
      <c r="A292" s="42"/>
      <c r="B292" s="42"/>
      <c r="C292" s="42"/>
    </row>
    <row r="293" spans="1:3" x14ac:dyDescent="0.25">
      <c r="A293" s="42"/>
      <c r="B293" s="42"/>
      <c r="C293" s="42"/>
    </row>
    <row r="294" spans="1:3" x14ac:dyDescent="0.25">
      <c r="A294" s="42"/>
      <c r="B294" s="42"/>
      <c r="C294" s="42"/>
    </row>
    <row r="295" spans="1:3" x14ac:dyDescent="0.25">
      <c r="A295" s="42"/>
      <c r="B295" s="42"/>
      <c r="C295" s="42"/>
    </row>
    <row r="296" spans="1:3" x14ac:dyDescent="0.25">
      <c r="A296" s="42"/>
      <c r="B296" s="42"/>
      <c r="C296" s="42"/>
    </row>
    <row r="297" spans="1:3" x14ac:dyDescent="0.25">
      <c r="A297" s="42"/>
      <c r="B297" s="42"/>
      <c r="C297" s="42"/>
    </row>
    <row r="298" spans="1:3" x14ac:dyDescent="0.25">
      <c r="A298" s="42"/>
      <c r="B298" s="42"/>
      <c r="C298" s="42"/>
    </row>
    <row r="299" spans="1:3" x14ac:dyDescent="0.25">
      <c r="A299" s="42"/>
      <c r="B299" s="42"/>
      <c r="C299" s="42"/>
    </row>
    <row r="300" spans="1:3" x14ac:dyDescent="0.25">
      <c r="A300" s="42"/>
      <c r="B300" s="42"/>
      <c r="C300" s="42"/>
    </row>
    <row r="301" spans="1:3" x14ac:dyDescent="0.25">
      <c r="A301" s="42"/>
      <c r="B301" s="42"/>
      <c r="C301" s="42"/>
    </row>
    <row r="302" spans="1:3" x14ac:dyDescent="0.25">
      <c r="A302" s="42"/>
      <c r="B302" s="42"/>
      <c r="C302" s="42"/>
    </row>
    <row r="303" spans="1:3" x14ac:dyDescent="0.25">
      <c r="A303" s="42"/>
      <c r="B303" s="42"/>
      <c r="C303" s="42"/>
    </row>
    <row r="304" spans="1:3" x14ac:dyDescent="0.25">
      <c r="A304" s="42"/>
      <c r="B304" s="42"/>
      <c r="C304" s="42"/>
    </row>
    <row r="305" spans="1:3" x14ac:dyDescent="0.25">
      <c r="A305" s="42"/>
      <c r="B305" s="42"/>
      <c r="C305" s="42"/>
    </row>
    <row r="306" spans="1:3" x14ac:dyDescent="0.25">
      <c r="A306" s="42"/>
      <c r="B306" s="42"/>
      <c r="C306" s="42"/>
    </row>
    <row r="307" spans="1:3" x14ac:dyDescent="0.25">
      <c r="A307" s="42"/>
      <c r="B307" s="42"/>
      <c r="C307" s="42"/>
    </row>
    <row r="308" spans="1:3" x14ac:dyDescent="0.25">
      <c r="A308" s="42"/>
      <c r="B308" s="42"/>
      <c r="C308" s="42"/>
    </row>
    <row r="309" spans="1:3" x14ac:dyDescent="0.25">
      <c r="A309" s="42"/>
      <c r="B309" s="42"/>
      <c r="C309" s="42"/>
    </row>
    <row r="310" spans="1:3" x14ac:dyDescent="0.25">
      <c r="A310" s="42"/>
      <c r="B310" s="42"/>
      <c r="C310" s="42"/>
    </row>
    <row r="311" spans="1:3" x14ac:dyDescent="0.25">
      <c r="A311" s="42"/>
      <c r="B311" s="42"/>
      <c r="C311" s="42"/>
    </row>
    <row r="312" spans="1:3" x14ac:dyDescent="0.25">
      <c r="A312" s="42"/>
      <c r="B312" s="42"/>
      <c r="C312" s="42"/>
    </row>
    <row r="313" spans="1:3" x14ac:dyDescent="0.25">
      <c r="A313" s="42"/>
      <c r="B313" s="42"/>
      <c r="C313" s="42"/>
    </row>
    <row r="314" spans="1:3" x14ac:dyDescent="0.25">
      <c r="A314" s="42"/>
      <c r="B314" s="42"/>
      <c r="C314" s="42"/>
    </row>
    <row r="315" spans="1:3" x14ac:dyDescent="0.25">
      <c r="A315" s="42"/>
      <c r="B315" s="42"/>
      <c r="C315" s="42"/>
    </row>
    <row r="316" spans="1:3" x14ac:dyDescent="0.25">
      <c r="A316" s="42"/>
      <c r="B316" s="42"/>
      <c r="C316" s="42"/>
    </row>
    <row r="317" spans="1:3" x14ac:dyDescent="0.25">
      <c r="A317" s="42"/>
      <c r="B317" s="42"/>
      <c r="C317" s="42"/>
    </row>
    <row r="318" spans="1:3" x14ac:dyDescent="0.25">
      <c r="A318" s="42"/>
      <c r="B318" s="42"/>
      <c r="C318" s="42"/>
    </row>
    <row r="319" spans="1:3" x14ac:dyDescent="0.25">
      <c r="A319" s="42"/>
      <c r="B319" s="42"/>
      <c r="C319" s="42"/>
    </row>
    <row r="320" spans="1:3" x14ac:dyDescent="0.25">
      <c r="A320" s="42"/>
      <c r="B320" s="42"/>
      <c r="C320" s="42"/>
    </row>
    <row r="321" spans="1:3" x14ac:dyDescent="0.25">
      <c r="A321" s="42"/>
      <c r="B321" s="42"/>
      <c r="C321" s="42"/>
    </row>
    <row r="322" spans="1:3" x14ac:dyDescent="0.25">
      <c r="A322" s="42"/>
      <c r="B322" s="42"/>
      <c r="C322" s="42"/>
    </row>
    <row r="323" spans="1:3" x14ac:dyDescent="0.25">
      <c r="A323" s="42"/>
      <c r="B323" s="42"/>
      <c r="C323" s="42"/>
    </row>
    <row r="324" spans="1:3" x14ac:dyDescent="0.25">
      <c r="A324" s="42"/>
      <c r="B324" s="42"/>
      <c r="C324" s="42"/>
    </row>
    <row r="325" spans="1:3" x14ac:dyDescent="0.25">
      <c r="A325" s="42"/>
      <c r="B325" s="42"/>
      <c r="C325" s="42"/>
    </row>
    <row r="326" spans="1:3" x14ac:dyDescent="0.25">
      <c r="A326" s="42"/>
      <c r="B326" s="42"/>
      <c r="C326" s="42"/>
    </row>
    <row r="327" spans="1:3" x14ac:dyDescent="0.25">
      <c r="A327" s="42"/>
      <c r="B327" s="42"/>
      <c r="C327" s="42"/>
    </row>
    <row r="328" spans="1:3" x14ac:dyDescent="0.25">
      <c r="A328" s="42"/>
      <c r="B328" s="42"/>
      <c r="C328" s="42"/>
    </row>
    <row r="329" spans="1:3" x14ac:dyDescent="0.25">
      <c r="A329" s="42"/>
      <c r="B329" s="42"/>
      <c r="C329" s="42"/>
    </row>
    <row r="330" spans="1:3" x14ac:dyDescent="0.25">
      <c r="A330" s="42"/>
      <c r="B330" s="42"/>
      <c r="C330" s="42"/>
    </row>
    <row r="331" spans="1:3" x14ac:dyDescent="0.25">
      <c r="A331" s="42"/>
      <c r="B331" s="42"/>
      <c r="C331" s="42"/>
    </row>
    <row r="332" spans="1:3" x14ac:dyDescent="0.25">
      <c r="A332" s="42"/>
      <c r="B332" s="42"/>
      <c r="C332" s="42"/>
    </row>
    <row r="333" spans="1:3" x14ac:dyDescent="0.25">
      <c r="A333" s="42"/>
      <c r="B333" s="42"/>
      <c r="C333" s="42"/>
    </row>
    <row r="334" spans="1:3" x14ac:dyDescent="0.25">
      <c r="A334" s="42"/>
      <c r="B334" s="42"/>
      <c r="C334" s="42"/>
    </row>
    <row r="335" spans="1:3" x14ac:dyDescent="0.25">
      <c r="A335" s="42"/>
      <c r="B335" s="42"/>
      <c r="C335" s="42"/>
    </row>
    <row r="336" spans="1:3" x14ac:dyDescent="0.25">
      <c r="A336" s="42"/>
      <c r="B336" s="42"/>
      <c r="C336" s="42"/>
    </row>
    <row r="337" spans="1:3" x14ac:dyDescent="0.25">
      <c r="A337" s="42"/>
      <c r="B337" s="42"/>
      <c r="C337" s="42"/>
    </row>
    <row r="338" spans="1:3" x14ac:dyDescent="0.25">
      <c r="A338" s="42"/>
      <c r="B338" s="42"/>
      <c r="C338" s="42"/>
    </row>
    <row r="339" spans="1:3" x14ac:dyDescent="0.25">
      <c r="A339" s="42"/>
      <c r="B339" s="42"/>
      <c r="C339" s="42"/>
    </row>
    <row r="340" spans="1:3" x14ac:dyDescent="0.25">
      <c r="A340" s="42"/>
      <c r="B340" s="42"/>
      <c r="C340" s="42"/>
    </row>
    <row r="341" spans="1:3" x14ac:dyDescent="0.25">
      <c r="A341" s="42"/>
      <c r="B341" s="42"/>
      <c r="C341" s="42"/>
    </row>
    <row r="342" spans="1:3" x14ac:dyDescent="0.25">
      <c r="A342" s="42"/>
      <c r="B342" s="42"/>
      <c r="C342" s="42"/>
    </row>
    <row r="343" spans="1:3" x14ac:dyDescent="0.25">
      <c r="A343" s="42"/>
      <c r="B343" s="42"/>
      <c r="C343" s="42"/>
    </row>
    <row r="344" spans="1:3" x14ac:dyDescent="0.25">
      <c r="A344" s="42"/>
      <c r="B344" s="42"/>
      <c r="C344" s="42"/>
    </row>
    <row r="345" spans="1:3" x14ac:dyDescent="0.25">
      <c r="A345" s="42"/>
      <c r="B345" s="42"/>
      <c r="C345" s="42"/>
    </row>
    <row r="346" spans="1:3" x14ac:dyDescent="0.25">
      <c r="A346" s="42"/>
      <c r="B346" s="42"/>
      <c r="C346" s="42"/>
    </row>
    <row r="347" spans="1:3" x14ac:dyDescent="0.25">
      <c r="A347" s="42"/>
      <c r="B347" s="42"/>
      <c r="C347" s="42"/>
    </row>
    <row r="348" spans="1:3" x14ac:dyDescent="0.25">
      <c r="A348" s="42"/>
      <c r="B348" s="42"/>
      <c r="C348" s="42"/>
    </row>
    <row r="349" spans="1:3" x14ac:dyDescent="0.25">
      <c r="A349" s="42"/>
      <c r="B349" s="42"/>
      <c r="C349" s="42"/>
    </row>
    <row r="350" spans="1:3" x14ac:dyDescent="0.25">
      <c r="A350" s="42"/>
      <c r="B350" s="42"/>
      <c r="C350" s="42"/>
    </row>
    <row r="351" spans="1:3" x14ac:dyDescent="0.25">
      <c r="A351" s="42"/>
      <c r="B351" s="42"/>
      <c r="C351" s="42"/>
    </row>
    <row r="352" spans="1:3" x14ac:dyDescent="0.25">
      <c r="A352" s="42"/>
      <c r="B352" s="42"/>
      <c r="C352" s="42"/>
    </row>
    <row r="353" spans="1:3" x14ac:dyDescent="0.25">
      <c r="A353" s="42"/>
      <c r="B353" s="42"/>
      <c r="C353" s="42"/>
    </row>
    <row r="354" spans="1:3" x14ac:dyDescent="0.25">
      <c r="A354" s="42"/>
      <c r="B354" s="42"/>
      <c r="C354" s="42"/>
    </row>
    <row r="355" spans="1:3" x14ac:dyDescent="0.25">
      <c r="A355" s="42"/>
      <c r="B355" s="42"/>
      <c r="C355" s="42"/>
    </row>
    <row r="356" spans="1:3" x14ac:dyDescent="0.25">
      <c r="A356" s="42"/>
      <c r="B356" s="42"/>
      <c r="C356" s="42"/>
    </row>
    <row r="357" spans="1:3" x14ac:dyDescent="0.25">
      <c r="A357" s="42"/>
      <c r="B357" s="42"/>
      <c r="C357" s="42"/>
    </row>
    <row r="358" spans="1:3" x14ac:dyDescent="0.25">
      <c r="A358" s="42"/>
      <c r="B358" s="42"/>
      <c r="C358" s="42"/>
    </row>
    <row r="359" spans="1:3" x14ac:dyDescent="0.25">
      <c r="A359" s="42"/>
      <c r="B359" s="42"/>
      <c r="C359" s="42"/>
    </row>
    <row r="360" spans="1:3" x14ac:dyDescent="0.25">
      <c r="A360" s="42"/>
      <c r="B360" s="42"/>
      <c r="C360" s="42"/>
    </row>
    <row r="361" spans="1:3" x14ac:dyDescent="0.25">
      <c r="A361" s="42"/>
      <c r="B361" s="42"/>
      <c r="C361" s="42"/>
    </row>
    <row r="362" spans="1:3" x14ac:dyDescent="0.25">
      <c r="A362" s="42"/>
      <c r="B362" s="42"/>
      <c r="C362" s="42"/>
    </row>
    <row r="363" spans="1:3" x14ac:dyDescent="0.25">
      <c r="A363" s="42"/>
      <c r="B363" s="42"/>
      <c r="C363" s="42"/>
    </row>
    <row r="364" spans="1:3" x14ac:dyDescent="0.25">
      <c r="A364" s="42"/>
      <c r="B364" s="42"/>
      <c r="C364" s="42"/>
    </row>
    <row r="365" spans="1:3" x14ac:dyDescent="0.25">
      <c r="A365" s="42"/>
      <c r="B365" s="42"/>
      <c r="C365" s="42"/>
    </row>
    <row r="366" spans="1:3" x14ac:dyDescent="0.25">
      <c r="A366" s="42"/>
      <c r="B366" s="42"/>
      <c r="C366" s="42"/>
    </row>
    <row r="367" spans="1:3" x14ac:dyDescent="0.25">
      <c r="A367" s="42"/>
      <c r="B367" s="42"/>
      <c r="C367" s="42"/>
    </row>
    <row r="368" spans="1:3" x14ac:dyDescent="0.25">
      <c r="A368" s="42"/>
      <c r="B368" s="42"/>
      <c r="C368" s="42"/>
    </row>
    <row r="369" spans="1:3" x14ac:dyDescent="0.25">
      <c r="A369" s="42"/>
      <c r="B369" s="42"/>
      <c r="C369" s="42"/>
    </row>
    <row r="370" spans="1:3" x14ac:dyDescent="0.25">
      <c r="A370" s="42"/>
      <c r="B370" s="42"/>
      <c r="C370" s="42"/>
    </row>
    <row r="371" spans="1:3" x14ac:dyDescent="0.25">
      <c r="A371" s="42"/>
      <c r="B371" s="42"/>
      <c r="C371" s="42"/>
    </row>
    <row r="372" spans="1:3" x14ac:dyDescent="0.25">
      <c r="A372" s="42"/>
      <c r="B372" s="42"/>
      <c r="C372" s="42"/>
    </row>
    <row r="373" spans="1:3" x14ac:dyDescent="0.25">
      <c r="A373" s="42"/>
      <c r="B373" s="42"/>
      <c r="C373" s="42"/>
    </row>
    <row r="374" spans="1:3" x14ac:dyDescent="0.25">
      <c r="A374" s="42"/>
      <c r="B374" s="42"/>
      <c r="C374" s="42"/>
    </row>
    <row r="375" spans="1:3" x14ac:dyDescent="0.25">
      <c r="A375" s="42"/>
      <c r="B375" s="42"/>
      <c r="C375" s="42"/>
    </row>
    <row r="376" spans="1:3" x14ac:dyDescent="0.25">
      <c r="A376" s="42"/>
      <c r="B376" s="42"/>
      <c r="C376" s="42"/>
    </row>
    <row r="377" spans="1:3" x14ac:dyDescent="0.25">
      <c r="A377" s="42"/>
      <c r="B377" s="42"/>
      <c r="C377" s="42"/>
    </row>
    <row r="378" spans="1:3" x14ac:dyDescent="0.25">
      <c r="A378" s="42"/>
      <c r="B378" s="42"/>
      <c r="C378" s="42"/>
    </row>
    <row r="379" spans="1:3" x14ac:dyDescent="0.25">
      <c r="A379" s="42"/>
      <c r="B379" s="42"/>
      <c r="C379" s="42"/>
    </row>
    <row r="380" spans="1:3" x14ac:dyDescent="0.25">
      <c r="A380" s="42"/>
      <c r="B380" s="42"/>
      <c r="C380" s="42"/>
    </row>
    <row r="381" spans="1:3" x14ac:dyDescent="0.25">
      <c r="A381" s="42"/>
      <c r="B381" s="42"/>
      <c r="C381" s="42"/>
    </row>
    <row r="382" spans="1:3" x14ac:dyDescent="0.25">
      <c r="A382" s="42"/>
      <c r="B382" s="42"/>
      <c r="C382" s="42"/>
    </row>
    <row r="383" spans="1:3" x14ac:dyDescent="0.25">
      <c r="A383" s="42"/>
      <c r="B383" s="42"/>
      <c r="C383" s="42"/>
    </row>
    <row r="384" spans="1:3" x14ac:dyDescent="0.25">
      <c r="A384" s="42"/>
      <c r="B384" s="42"/>
      <c r="C384" s="42"/>
    </row>
    <row r="385" spans="1:3" x14ac:dyDescent="0.25">
      <c r="A385" s="42"/>
      <c r="B385" s="42"/>
      <c r="C385" s="42"/>
    </row>
    <row r="386" spans="1:3" x14ac:dyDescent="0.25">
      <c r="A386" s="42"/>
      <c r="B386" s="42"/>
      <c r="C386" s="42"/>
    </row>
    <row r="387" spans="1:3" x14ac:dyDescent="0.25">
      <c r="A387" s="42"/>
      <c r="B387" s="42"/>
      <c r="C387" s="42"/>
    </row>
    <row r="388" spans="1:3" x14ac:dyDescent="0.25">
      <c r="A388" s="42"/>
      <c r="B388" s="42"/>
      <c r="C388" s="42"/>
    </row>
    <row r="389" spans="1:3" x14ac:dyDescent="0.25">
      <c r="A389" s="42"/>
      <c r="B389" s="42"/>
      <c r="C389" s="42"/>
    </row>
    <row r="390" spans="1:3" x14ac:dyDescent="0.25">
      <c r="A390" s="42"/>
      <c r="B390" s="42"/>
      <c r="C390" s="42"/>
    </row>
    <row r="391" spans="1:3" x14ac:dyDescent="0.25">
      <c r="A391" s="42"/>
      <c r="B391" s="42"/>
      <c r="C391" s="42"/>
    </row>
    <row r="392" spans="1:3" x14ac:dyDescent="0.25">
      <c r="A392" s="42"/>
      <c r="B392" s="42"/>
      <c r="C392" s="42"/>
    </row>
    <row r="393" spans="1:3" x14ac:dyDescent="0.25">
      <c r="A393" s="42"/>
      <c r="B393" s="42"/>
      <c r="C393" s="42"/>
    </row>
    <row r="394" spans="1:3" x14ac:dyDescent="0.25">
      <c r="A394" s="42"/>
      <c r="B394" s="42"/>
      <c r="C394" s="42"/>
    </row>
    <row r="395" spans="1:3" x14ac:dyDescent="0.25">
      <c r="A395" s="42"/>
      <c r="B395" s="42"/>
      <c r="C395" s="42"/>
    </row>
    <row r="396" spans="1:3" x14ac:dyDescent="0.25">
      <c r="A396" s="42"/>
      <c r="B396" s="42"/>
      <c r="C396" s="42"/>
    </row>
    <row r="397" spans="1:3" x14ac:dyDescent="0.25">
      <c r="A397" s="42"/>
      <c r="B397" s="42"/>
      <c r="C397" s="42"/>
    </row>
    <row r="398" spans="1:3" x14ac:dyDescent="0.25">
      <c r="A398" s="42"/>
      <c r="B398" s="42"/>
      <c r="C398" s="42"/>
    </row>
    <row r="399" spans="1:3" x14ac:dyDescent="0.25">
      <c r="A399" s="42"/>
      <c r="B399" s="42"/>
      <c r="C399" s="42"/>
    </row>
    <row r="400" spans="1:3" x14ac:dyDescent="0.25">
      <c r="A400" s="42"/>
      <c r="B400" s="42"/>
      <c r="C400" s="42"/>
    </row>
    <row r="401" spans="1:3" x14ac:dyDescent="0.25">
      <c r="A401" s="42"/>
      <c r="B401" s="42"/>
      <c r="C401" s="42"/>
    </row>
    <row r="402" spans="1:3" x14ac:dyDescent="0.25">
      <c r="A402" s="42"/>
      <c r="B402" s="42"/>
      <c r="C402" s="42"/>
    </row>
    <row r="403" spans="1:3" x14ac:dyDescent="0.25">
      <c r="A403" s="42"/>
      <c r="B403" s="42"/>
      <c r="C403" s="42"/>
    </row>
    <row r="404" spans="1:3" x14ac:dyDescent="0.25">
      <c r="A404" s="42"/>
      <c r="B404" s="42"/>
      <c r="C404" s="42"/>
    </row>
    <row r="405" spans="1:3" x14ac:dyDescent="0.25">
      <c r="A405" s="42"/>
      <c r="B405" s="42"/>
      <c r="C405" s="42"/>
    </row>
    <row r="406" spans="1:3" x14ac:dyDescent="0.25">
      <c r="A406" s="42"/>
      <c r="B406" s="42"/>
      <c r="C406" s="42"/>
    </row>
    <row r="407" spans="1:3" x14ac:dyDescent="0.25">
      <c r="A407" s="42"/>
      <c r="B407" s="42"/>
      <c r="C407" s="42"/>
    </row>
    <row r="408" spans="1:3" x14ac:dyDescent="0.25">
      <c r="A408" s="42"/>
      <c r="B408" s="42"/>
      <c r="C408" s="42"/>
    </row>
    <row r="409" spans="1:3" x14ac:dyDescent="0.25">
      <c r="A409" s="42"/>
      <c r="B409" s="42"/>
      <c r="C409" s="42"/>
    </row>
    <row r="410" spans="1:3" x14ac:dyDescent="0.25">
      <c r="A410" s="42"/>
      <c r="B410" s="42"/>
      <c r="C410" s="42"/>
    </row>
    <row r="411" spans="1:3" x14ac:dyDescent="0.25">
      <c r="A411" s="42"/>
      <c r="B411" s="42"/>
      <c r="C411" s="42"/>
    </row>
    <row r="412" spans="1:3" x14ac:dyDescent="0.25">
      <c r="A412" s="42"/>
      <c r="B412" s="42"/>
      <c r="C412" s="42"/>
    </row>
    <row r="413" spans="1:3" x14ac:dyDescent="0.25">
      <c r="A413" s="42"/>
      <c r="B413" s="42"/>
      <c r="C413" s="42"/>
    </row>
    <row r="414" spans="1:3" x14ac:dyDescent="0.25">
      <c r="A414" s="42"/>
      <c r="B414" s="42"/>
      <c r="C414" s="42"/>
    </row>
    <row r="415" spans="1:3" x14ac:dyDescent="0.25">
      <c r="A415" s="42"/>
      <c r="B415" s="42"/>
      <c r="C415" s="42"/>
    </row>
    <row r="416" spans="1:3" x14ac:dyDescent="0.25">
      <c r="A416" s="42"/>
      <c r="B416" s="42"/>
      <c r="C416" s="42"/>
    </row>
    <row r="417" spans="1:3" x14ac:dyDescent="0.25">
      <c r="A417" s="42"/>
      <c r="B417" s="42"/>
      <c r="C417" s="42"/>
    </row>
    <row r="418" spans="1:3" x14ac:dyDescent="0.25">
      <c r="A418" s="42"/>
      <c r="B418" s="42"/>
      <c r="C418" s="42"/>
    </row>
    <row r="419" spans="1:3" x14ac:dyDescent="0.25">
      <c r="A419" s="42"/>
      <c r="B419" s="42"/>
      <c r="C419" s="42"/>
    </row>
    <row r="420" spans="1:3" x14ac:dyDescent="0.25">
      <c r="A420" s="42"/>
      <c r="B420" s="42"/>
      <c r="C420" s="42"/>
    </row>
    <row r="421" spans="1:3" x14ac:dyDescent="0.25">
      <c r="A421" s="42"/>
      <c r="B421" s="42"/>
      <c r="C421" s="42"/>
    </row>
    <row r="422" spans="1:3" x14ac:dyDescent="0.25">
      <c r="A422" s="42"/>
      <c r="B422" s="42"/>
      <c r="C422" s="42"/>
    </row>
    <row r="423" spans="1:3" x14ac:dyDescent="0.25">
      <c r="A423" s="42"/>
      <c r="B423" s="42"/>
      <c r="C423" s="42"/>
    </row>
    <row r="424" spans="1:3" x14ac:dyDescent="0.25">
      <c r="A424" s="42"/>
      <c r="B424" s="42"/>
      <c r="C424" s="42"/>
    </row>
    <row r="425" spans="1:3" x14ac:dyDescent="0.25">
      <c r="A425" s="42"/>
      <c r="B425" s="42"/>
      <c r="C425" s="42"/>
    </row>
    <row r="426" spans="1:3" x14ac:dyDescent="0.25">
      <c r="A426" s="42"/>
      <c r="B426" s="42"/>
      <c r="C426" s="42"/>
    </row>
    <row r="427" spans="1:3" x14ac:dyDescent="0.25">
      <c r="A427" s="42"/>
      <c r="B427" s="42"/>
      <c r="C427" s="42"/>
    </row>
    <row r="428" spans="1:3" x14ac:dyDescent="0.25">
      <c r="A428" s="42"/>
      <c r="B428" s="42"/>
      <c r="C428" s="42"/>
    </row>
    <row r="429" spans="1:3" x14ac:dyDescent="0.25">
      <c r="A429" s="42"/>
      <c r="B429" s="42"/>
      <c r="C429" s="42"/>
    </row>
    <row r="430" spans="1:3" x14ac:dyDescent="0.25">
      <c r="A430" s="42"/>
      <c r="B430" s="42"/>
      <c r="C430" s="42"/>
    </row>
    <row r="431" spans="1:3" x14ac:dyDescent="0.25">
      <c r="A431" s="42"/>
      <c r="B431" s="42"/>
      <c r="C431" s="42"/>
    </row>
    <row r="432" spans="1:3" x14ac:dyDescent="0.25">
      <c r="A432" s="42"/>
      <c r="B432" s="42"/>
      <c r="C432" s="42"/>
    </row>
    <row r="433" spans="1:3" x14ac:dyDescent="0.25">
      <c r="A433" s="42"/>
      <c r="B433" s="42"/>
      <c r="C433" s="42"/>
    </row>
    <row r="434" spans="1:3" x14ac:dyDescent="0.25">
      <c r="A434" s="42"/>
      <c r="B434" s="42"/>
      <c r="C434" s="42"/>
    </row>
    <row r="435" spans="1:3" x14ac:dyDescent="0.25">
      <c r="A435" s="42"/>
      <c r="B435" s="42"/>
      <c r="C435" s="42"/>
    </row>
    <row r="436" spans="1:3" x14ac:dyDescent="0.25">
      <c r="A436" s="42"/>
      <c r="B436" s="42"/>
      <c r="C436" s="42"/>
    </row>
    <row r="437" spans="1:3" x14ac:dyDescent="0.25">
      <c r="A437" s="42"/>
      <c r="B437" s="42"/>
      <c r="C437" s="42"/>
    </row>
    <row r="438" spans="1:3" x14ac:dyDescent="0.25">
      <c r="A438" s="42"/>
      <c r="B438" s="42"/>
      <c r="C438" s="42"/>
    </row>
    <row r="439" spans="1:3" x14ac:dyDescent="0.25">
      <c r="A439" s="42"/>
      <c r="B439" s="42"/>
      <c r="C439" s="42"/>
    </row>
    <row r="440" spans="1:3" x14ac:dyDescent="0.25">
      <c r="A440" s="42"/>
      <c r="B440" s="42"/>
      <c r="C440" s="42"/>
    </row>
    <row r="441" spans="1:3" x14ac:dyDescent="0.25">
      <c r="A441" s="42"/>
      <c r="B441" s="42"/>
      <c r="C441" s="42"/>
    </row>
    <row r="442" spans="1:3" x14ac:dyDescent="0.25">
      <c r="A442" s="42"/>
      <c r="B442" s="42"/>
      <c r="C442" s="42"/>
    </row>
    <row r="443" spans="1:3" x14ac:dyDescent="0.25">
      <c r="A443" s="42"/>
      <c r="B443" s="42"/>
      <c r="C443" s="42"/>
    </row>
    <row r="444" spans="1:3" x14ac:dyDescent="0.25">
      <c r="A444" s="42"/>
      <c r="B444" s="42"/>
      <c r="C444" s="42"/>
    </row>
    <row r="445" spans="1:3" x14ac:dyDescent="0.25">
      <c r="A445" s="42"/>
      <c r="B445" s="42"/>
      <c r="C445" s="42"/>
    </row>
    <row r="446" spans="1:3" x14ac:dyDescent="0.25">
      <c r="A446" s="42"/>
      <c r="B446" s="42"/>
      <c r="C446" s="42"/>
    </row>
    <row r="447" spans="1:3" x14ac:dyDescent="0.25">
      <c r="A447" s="42"/>
      <c r="B447" s="42"/>
      <c r="C447" s="42"/>
    </row>
    <row r="448" spans="1:3" x14ac:dyDescent="0.25">
      <c r="A448" s="42"/>
      <c r="B448" s="42"/>
      <c r="C448" s="42"/>
    </row>
    <row r="449" spans="1:3" x14ac:dyDescent="0.25">
      <c r="A449" s="42"/>
      <c r="B449" s="42"/>
      <c r="C449" s="42"/>
    </row>
    <row r="450" spans="1:3" x14ac:dyDescent="0.25">
      <c r="A450" s="42"/>
      <c r="B450" s="42"/>
      <c r="C450" s="42"/>
    </row>
    <row r="451" spans="1:3" x14ac:dyDescent="0.25">
      <c r="A451" s="42"/>
      <c r="B451" s="42"/>
      <c r="C451" s="42"/>
    </row>
    <row r="452" spans="1:3" x14ac:dyDescent="0.25">
      <c r="A452" s="42"/>
      <c r="B452" s="42"/>
      <c r="C452" s="42"/>
    </row>
    <row r="453" spans="1:3" x14ac:dyDescent="0.25">
      <c r="A453" s="42"/>
      <c r="B453" s="42"/>
      <c r="C453" s="42"/>
    </row>
    <row r="454" spans="1:3" x14ac:dyDescent="0.25">
      <c r="A454" s="42"/>
      <c r="B454" s="42"/>
      <c r="C454" s="42"/>
    </row>
    <row r="455" spans="1:3" x14ac:dyDescent="0.25">
      <c r="A455" s="42"/>
      <c r="B455" s="42"/>
      <c r="C455" s="42"/>
    </row>
    <row r="456" spans="1:3" x14ac:dyDescent="0.25">
      <c r="A456" s="42"/>
      <c r="B456" s="42"/>
      <c r="C456" s="42"/>
    </row>
    <row r="457" spans="1:3" x14ac:dyDescent="0.25">
      <c r="A457" s="42"/>
      <c r="B457" s="42"/>
      <c r="C457" s="42"/>
    </row>
    <row r="458" spans="1:3" x14ac:dyDescent="0.25">
      <c r="A458" s="42"/>
      <c r="B458" s="42"/>
      <c r="C458" s="42"/>
    </row>
    <row r="459" spans="1:3" x14ac:dyDescent="0.25">
      <c r="A459" s="42"/>
      <c r="B459" s="42"/>
      <c r="C459" s="42"/>
    </row>
    <row r="460" spans="1:3" x14ac:dyDescent="0.25">
      <c r="A460" s="42"/>
      <c r="B460" s="42"/>
      <c r="C460" s="42"/>
    </row>
    <row r="461" spans="1:3" x14ac:dyDescent="0.25">
      <c r="A461" s="42"/>
      <c r="B461" s="42"/>
      <c r="C461" s="42"/>
    </row>
    <row r="462" spans="1:3" x14ac:dyDescent="0.25">
      <c r="A462" s="42"/>
      <c r="B462" s="42"/>
      <c r="C462" s="42"/>
    </row>
    <row r="463" spans="1:3" x14ac:dyDescent="0.25">
      <c r="A463" s="42"/>
      <c r="B463" s="42"/>
      <c r="C463" s="42"/>
    </row>
    <row r="464" spans="1:3" x14ac:dyDescent="0.25">
      <c r="A464" s="42"/>
      <c r="B464" s="42"/>
      <c r="C464" s="42"/>
    </row>
    <row r="465" spans="1:3" x14ac:dyDescent="0.25">
      <c r="A465" s="42"/>
      <c r="B465" s="42"/>
      <c r="C465" s="42"/>
    </row>
    <row r="466" spans="1:3" x14ac:dyDescent="0.25">
      <c r="A466" s="42"/>
      <c r="B466" s="42"/>
      <c r="C466" s="42"/>
    </row>
    <row r="467" spans="1:3" x14ac:dyDescent="0.25">
      <c r="A467" s="42"/>
      <c r="B467" s="42"/>
      <c r="C467" s="42"/>
    </row>
    <row r="468" spans="1:3" x14ac:dyDescent="0.25">
      <c r="A468" s="42"/>
      <c r="B468" s="42"/>
      <c r="C468" s="42"/>
    </row>
    <row r="469" spans="1:3" x14ac:dyDescent="0.25">
      <c r="A469" s="42"/>
      <c r="B469" s="42"/>
      <c r="C469" s="42"/>
    </row>
    <row r="470" spans="1:3" x14ac:dyDescent="0.25">
      <c r="A470" s="42"/>
      <c r="B470" s="42"/>
      <c r="C470" s="42"/>
    </row>
    <row r="471" spans="1:3" x14ac:dyDescent="0.25">
      <c r="A471" s="42"/>
      <c r="B471" s="42"/>
      <c r="C471" s="42"/>
    </row>
    <row r="472" spans="1:3" x14ac:dyDescent="0.25">
      <c r="A472" s="42"/>
      <c r="B472" s="42"/>
      <c r="C472" s="42"/>
    </row>
    <row r="473" spans="1:3" x14ac:dyDescent="0.25">
      <c r="A473" s="42"/>
      <c r="B473" s="42"/>
      <c r="C473" s="42"/>
    </row>
    <row r="474" spans="1:3" x14ac:dyDescent="0.25">
      <c r="A474" s="42"/>
      <c r="B474" s="42"/>
      <c r="C474" s="42"/>
    </row>
    <row r="475" spans="1:3" x14ac:dyDescent="0.25">
      <c r="A475" s="42"/>
      <c r="B475" s="42"/>
      <c r="C475" s="42"/>
    </row>
    <row r="476" spans="1:3" x14ac:dyDescent="0.25">
      <c r="A476" s="42"/>
      <c r="B476" s="42"/>
      <c r="C476" s="42"/>
    </row>
    <row r="477" spans="1:3" x14ac:dyDescent="0.25">
      <c r="A477" s="42"/>
      <c r="B477" s="42"/>
      <c r="C477" s="42"/>
    </row>
    <row r="478" spans="1:3" x14ac:dyDescent="0.25">
      <c r="A478" s="42"/>
      <c r="B478" s="42"/>
      <c r="C478" s="42"/>
    </row>
    <row r="479" spans="1:3" x14ac:dyDescent="0.25">
      <c r="A479" s="42"/>
      <c r="B479" s="42"/>
      <c r="C479" s="42"/>
    </row>
    <row r="480" spans="1:3" x14ac:dyDescent="0.25">
      <c r="A480" s="42"/>
      <c r="B480" s="42"/>
      <c r="C480" s="42"/>
    </row>
    <row r="481" spans="1:3" x14ac:dyDescent="0.25">
      <c r="A481" s="42"/>
      <c r="B481" s="42"/>
      <c r="C481" s="42"/>
    </row>
    <row r="482" spans="1:3" x14ac:dyDescent="0.25">
      <c r="A482" s="42"/>
      <c r="B482" s="42"/>
      <c r="C482" s="42"/>
    </row>
    <row r="483" spans="1:3" x14ac:dyDescent="0.25">
      <c r="A483" s="42"/>
      <c r="B483" s="42"/>
      <c r="C483" s="42"/>
    </row>
    <row r="484" spans="1:3" x14ac:dyDescent="0.25">
      <c r="A484" s="42"/>
      <c r="B484" s="42"/>
      <c r="C484" s="42"/>
    </row>
    <row r="485" spans="1:3" x14ac:dyDescent="0.25">
      <c r="A485" s="42"/>
      <c r="B485" s="42"/>
      <c r="C485" s="42"/>
    </row>
    <row r="486" spans="1:3" x14ac:dyDescent="0.25">
      <c r="A486" s="42"/>
      <c r="B486" s="42"/>
      <c r="C486" s="42"/>
    </row>
    <row r="487" spans="1:3" x14ac:dyDescent="0.25">
      <c r="A487" s="42"/>
      <c r="B487" s="42"/>
      <c r="C487" s="42"/>
    </row>
    <row r="488" spans="1:3" x14ac:dyDescent="0.25">
      <c r="A488" s="42"/>
      <c r="B488" s="42"/>
      <c r="C488" s="42"/>
    </row>
    <row r="489" spans="1:3" x14ac:dyDescent="0.25">
      <c r="A489" s="42"/>
      <c r="B489" s="42"/>
      <c r="C489" s="42"/>
    </row>
    <row r="490" spans="1:3" x14ac:dyDescent="0.25">
      <c r="A490" s="42"/>
      <c r="B490" s="42"/>
      <c r="C490" s="42"/>
    </row>
    <row r="491" spans="1:3" x14ac:dyDescent="0.25">
      <c r="A491" s="42"/>
      <c r="B491" s="42"/>
      <c r="C491" s="42"/>
    </row>
    <row r="492" spans="1:3" x14ac:dyDescent="0.25">
      <c r="A492" s="42"/>
      <c r="B492" s="42"/>
      <c r="C492" s="42"/>
    </row>
    <row r="493" spans="1:3" x14ac:dyDescent="0.25">
      <c r="A493" s="42"/>
      <c r="B493" s="42"/>
      <c r="C493" s="42"/>
    </row>
    <row r="494" spans="1:3" x14ac:dyDescent="0.25">
      <c r="A494" s="42"/>
      <c r="B494" s="42"/>
      <c r="C494" s="42"/>
    </row>
    <row r="495" spans="1:3" x14ac:dyDescent="0.25">
      <c r="A495" s="42"/>
      <c r="B495" s="42"/>
      <c r="C495" s="42"/>
    </row>
    <row r="496" spans="1:3" x14ac:dyDescent="0.25">
      <c r="A496" s="42"/>
      <c r="B496" s="42"/>
      <c r="C496" s="42"/>
    </row>
    <row r="497" spans="1:3" x14ac:dyDescent="0.25">
      <c r="A497" s="42"/>
      <c r="B497" s="42"/>
      <c r="C497" s="42"/>
    </row>
    <row r="498" spans="1:3" x14ac:dyDescent="0.25">
      <c r="A498" s="42"/>
      <c r="B498" s="42"/>
      <c r="C498" s="42"/>
    </row>
    <row r="499" spans="1:3" x14ac:dyDescent="0.25">
      <c r="A499" s="42"/>
      <c r="B499" s="42"/>
      <c r="C499" s="42"/>
    </row>
    <row r="500" spans="1:3" x14ac:dyDescent="0.25">
      <c r="A500" s="42"/>
      <c r="B500" s="42"/>
      <c r="C500" s="42"/>
    </row>
    <row r="501" spans="1:3" x14ac:dyDescent="0.25">
      <c r="A501" s="42"/>
      <c r="B501" s="42"/>
      <c r="C501" s="42"/>
    </row>
    <row r="502" spans="1:3" x14ac:dyDescent="0.25">
      <c r="A502" s="42"/>
      <c r="B502" s="42"/>
      <c r="C502" s="42"/>
    </row>
    <row r="503" spans="1:3" x14ac:dyDescent="0.25">
      <c r="A503" s="42"/>
      <c r="B503" s="42"/>
      <c r="C503" s="42"/>
    </row>
    <row r="504" spans="1:3" x14ac:dyDescent="0.25">
      <c r="A504" s="42"/>
      <c r="B504" s="42"/>
      <c r="C504" s="42"/>
    </row>
    <row r="505" spans="1:3" x14ac:dyDescent="0.25">
      <c r="A505" s="42"/>
      <c r="B505" s="42"/>
      <c r="C505" s="42"/>
    </row>
    <row r="506" spans="1:3" x14ac:dyDescent="0.25">
      <c r="A506" s="42"/>
      <c r="B506" s="42"/>
      <c r="C506" s="42"/>
    </row>
    <row r="507" spans="1:3" x14ac:dyDescent="0.25">
      <c r="A507" s="42"/>
      <c r="B507" s="42"/>
      <c r="C507" s="42"/>
    </row>
  </sheetData>
  <mergeCells count="8">
    <mergeCell ref="H2:Q2"/>
    <mergeCell ref="R2:R3"/>
    <mergeCell ref="A2:A3"/>
    <mergeCell ref="B2:B3"/>
    <mergeCell ref="C2:C3"/>
    <mergeCell ref="D2:E2"/>
    <mergeCell ref="F2:F3"/>
    <mergeCell ref="G2:G3"/>
  </mergeCells>
  <phoneticPr fontId="8" type="noConversion"/>
  <conditionalFormatting sqref="A1:A3 A5:A6 A208:A210 A13:A48 A50 A57:A62 A173:A174 A225:A226 A236 A179:A205 A228 A231:A233 A508:A1048576 A168:A171 A123 A121 A77:A112 A115 A142:A166 A52:A55 A176:A177">
    <cfRule type="cellIs" dxfId="91" priority="41" operator="equal">
      <formula>"CommonCase"</formula>
    </cfRule>
  </conditionalFormatting>
  <conditionalFormatting sqref="A4">
    <cfRule type="cellIs" dxfId="90" priority="40" operator="equal">
      <formula>"CommonCase"</formula>
    </cfRule>
  </conditionalFormatting>
  <conditionalFormatting sqref="A7 A9 A11:A12">
    <cfRule type="cellIs" dxfId="89" priority="39" operator="equal">
      <formula>"CommonCase"</formula>
    </cfRule>
  </conditionalFormatting>
  <conditionalFormatting sqref="A207">
    <cfRule type="cellIs" dxfId="88" priority="38" operator="equal">
      <formula>"CommonCase"</formula>
    </cfRule>
  </conditionalFormatting>
  <conditionalFormatting sqref="A213:A214 A224">
    <cfRule type="cellIs" dxfId="87" priority="37" operator="equal">
      <formula>"CommonCase"</formula>
    </cfRule>
  </conditionalFormatting>
  <conditionalFormatting sqref="A212">
    <cfRule type="cellIs" dxfId="86" priority="36" operator="equal">
      <formula>"CommonCase"</formula>
    </cfRule>
  </conditionalFormatting>
  <conditionalFormatting sqref="A215">
    <cfRule type="cellIs" dxfId="85" priority="35" operator="equal">
      <formula>"CommonCase"</formula>
    </cfRule>
  </conditionalFormatting>
  <conditionalFormatting sqref="A217:A220 A222:A223">
    <cfRule type="cellIs" dxfId="84" priority="34" operator="equal">
      <formula>"CommonCase"</formula>
    </cfRule>
  </conditionalFormatting>
  <conditionalFormatting sqref="A8">
    <cfRule type="cellIs" dxfId="83" priority="33" operator="equal">
      <formula>"CommonCase"</formula>
    </cfRule>
  </conditionalFormatting>
  <conditionalFormatting sqref="A49">
    <cfRule type="cellIs" dxfId="82" priority="32" operator="equal">
      <formula>"CommonCase"</formula>
    </cfRule>
  </conditionalFormatting>
  <conditionalFormatting sqref="A56">
    <cfRule type="cellIs" dxfId="81" priority="31" operator="equal">
      <formula>"CommonCase"</formula>
    </cfRule>
  </conditionalFormatting>
  <conditionalFormatting sqref="A64 A71:A76 A124 A133 A66:A69">
    <cfRule type="cellIs" dxfId="80" priority="30" operator="equal">
      <formula>"CommonCase"</formula>
    </cfRule>
  </conditionalFormatting>
  <conditionalFormatting sqref="A63">
    <cfRule type="cellIs" dxfId="79" priority="29" operator="equal">
      <formula>"CommonCase"</formula>
    </cfRule>
  </conditionalFormatting>
  <conditionalFormatting sqref="A70">
    <cfRule type="cellIs" dxfId="78" priority="28" operator="equal">
      <formula>"CommonCase"</formula>
    </cfRule>
  </conditionalFormatting>
  <conditionalFormatting sqref="A234:A235">
    <cfRule type="cellIs" dxfId="77" priority="27" operator="equal">
      <formula>"CommonCase"</formula>
    </cfRule>
  </conditionalFormatting>
  <conditionalFormatting sqref="A206">
    <cfRule type="cellIs" dxfId="76" priority="26" operator="equal">
      <formula>"CommonCase"</formula>
    </cfRule>
  </conditionalFormatting>
  <conditionalFormatting sqref="A216">
    <cfRule type="cellIs" dxfId="75" priority="25" operator="equal">
      <formula>"CommonCase"</formula>
    </cfRule>
  </conditionalFormatting>
  <conditionalFormatting sqref="A221">
    <cfRule type="cellIs" dxfId="74" priority="24" operator="equal">
      <formula>"CommonCase"</formula>
    </cfRule>
  </conditionalFormatting>
  <conditionalFormatting sqref="A211">
    <cfRule type="cellIs" dxfId="73" priority="23" operator="equal">
      <formula>"CommonCase"</formula>
    </cfRule>
  </conditionalFormatting>
  <conditionalFormatting sqref="A227">
    <cfRule type="cellIs" dxfId="72" priority="22" operator="equal">
      <formula>"CommonCase"</formula>
    </cfRule>
  </conditionalFormatting>
  <conditionalFormatting sqref="A229:A230">
    <cfRule type="cellIs" dxfId="71" priority="21" operator="equal">
      <formula>"CommonCase"</formula>
    </cfRule>
  </conditionalFormatting>
  <conditionalFormatting sqref="A265">
    <cfRule type="cellIs" dxfId="70" priority="20" operator="equal">
      <formula>"CommonCase"</formula>
    </cfRule>
  </conditionalFormatting>
  <conditionalFormatting sqref="A281">
    <cfRule type="cellIs" dxfId="69" priority="19" operator="equal">
      <formula>"CommonCase"</formula>
    </cfRule>
  </conditionalFormatting>
  <conditionalFormatting sqref="A116:A120">
    <cfRule type="cellIs" dxfId="68" priority="18" operator="equal">
      <formula>"CommonCase"</formula>
    </cfRule>
  </conditionalFormatting>
  <conditionalFormatting sqref="A134:A139 A141">
    <cfRule type="cellIs" dxfId="67" priority="16" operator="equal">
      <formula>"CommonCase"</formula>
    </cfRule>
  </conditionalFormatting>
  <conditionalFormatting sqref="A125:A130">
    <cfRule type="cellIs" dxfId="66" priority="17" operator="equal">
      <formula>"CommonCase"</formula>
    </cfRule>
  </conditionalFormatting>
  <conditionalFormatting sqref="A167">
    <cfRule type="cellIs" dxfId="65" priority="15" operator="equal">
      <formula>"CommonCase"</formula>
    </cfRule>
  </conditionalFormatting>
  <conditionalFormatting sqref="A172">
    <cfRule type="cellIs" dxfId="64" priority="14" operator="equal">
      <formula>"CommonCase"</formula>
    </cfRule>
  </conditionalFormatting>
  <conditionalFormatting sqref="A238:A241 A243:A246">
    <cfRule type="cellIs" dxfId="63" priority="13" operator="equal">
      <formula>"CommonCase"</formula>
    </cfRule>
  </conditionalFormatting>
  <conditionalFormatting sqref="A252:A255 A257:A260">
    <cfRule type="cellIs" dxfId="62" priority="12" operator="equal">
      <formula>"CommonCase"</formula>
    </cfRule>
  </conditionalFormatting>
  <conditionalFormatting sqref="A122">
    <cfRule type="cellIs" dxfId="61" priority="11" operator="equal">
      <formula>"CommonCase"</formula>
    </cfRule>
  </conditionalFormatting>
  <conditionalFormatting sqref="A140">
    <cfRule type="cellIs" dxfId="60" priority="10" operator="equal">
      <formula>"CommonCase"</formula>
    </cfRule>
  </conditionalFormatting>
  <conditionalFormatting sqref="A132">
    <cfRule type="cellIs" dxfId="59" priority="9" operator="equal">
      <formula>"CommonCase"</formula>
    </cfRule>
  </conditionalFormatting>
  <conditionalFormatting sqref="A131">
    <cfRule type="cellIs" dxfId="58" priority="8" operator="equal">
      <formula>"CommonCase"</formula>
    </cfRule>
  </conditionalFormatting>
  <conditionalFormatting sqref="A114">
    <cfRule type="cellIs" dxfId="57" priority="7" operator="equal">
      <formula>"CommonCase"</formula>
    </cfRule>
  </conditionalFormatting>
  <conditionalFormatting sqref="A113">
    <cfRule type="cellIs" dxfId="56" priority="6" operator="equal">
      <formula>"CommonCase"</formula>
    </cfRule>
  </conditionalFormatting>
  <conditionalFormatting sqref="A10">
    <cfRule type="cellIs" dxfId="55" priority="5" operator="equal">
      <formula>"CommonCase"</formula>
    </cfRule>
  </conditionalFormatting>
  <conditionalFormatting sqref="A51">
    <cfRule type="cellIs" dxfId="54" priority="4" operator="equal">
      <formula>"CommonCase"</formula>
    </cfRule>
  </conditionalFormatting>
  <conditionalFormatting sqref="A65">
    <cfRule type="cellIs" dxfId="53" priority="3" operator="equal">
      <formula>"CommonCase"</formula>
    </cfRule>
  </conditionalFormatting>
  <conditionalFormatting sqref="A278">
    <cfRule type="cellIs" dxfId="52" priority="2" operator="equal">
      <formula>"CommonCase"</formula>
    </cfRule>
  </conditionalFormatting>
  <conditionalFormatting sqref="A175">
    <cfRule type="cellIs" dxfId="51" priority="1" operator="equal">
      <formula>"CommonCase"</formula>
    </cfRule>
  </conditionalFormatting>
  <dataValidations count="4">
    <dataValidation type="list" errorStyle="information" allowBlank="1" showInputMessage="1" sqref="A179:A241 A243:A255 A257:A1048576 A4:A177">
      <formula1>"CommonCase"</formula1>
    </dataValidation>
    <dataValidation type="list" allowBlank="1" showInputMessage="1" showErrorMessage="1" sqref="H1:J1">
      <formula1>"无,IE11_32bit,IE11_64bit,IE9,Firefox_v61,Chrome_v59-61,Chrome_v60-62,Chrome_v61-63,Chrome_v62-64,Chrome_v63-65,Chrome_v66-68"</formula1>
    </dataValidation>
    <dataValidation errorStyle="information" allowBlank="1" showInputMessage="1" sqref="A1:A3"/>
    <dataValidation type="list" allowBlank="1" showInputMessage="1" showErrorMessage="1" sqref="F1">
      <formula1>"'true,'false"</formula1>
    </dataValidation>
  </dataValidations>
  <hyperlinks>
    <hyperlink ref="H4" r:id="rId1" display="http://10.16.73.230:8082/login"/>
    <hyperlink ref="H8" r:id="rId2" display="http://10.16.73.230:8082/index"/>
    <hyperlink ref="H49" r:id="rId3" display="http://10.16.73.230:8082/index"/>
    <hyperlink ref="H63" r:id="rId4" display="http://10.16.73.230:8082/index"/>
    <hyperlink ref="H173" r:id="rId5" display="http://10.16.73.230:8082/index"/>
    <hyperlink ref="H92" r:id="rId6" display="http://10.16.73.230:8082/index"/>
    <hyperlink ref="H265" r:id="rId7" display="http://10.16.73.230:8082/index"/>
    <hyperlink ref="H77" r:id="rId8" display="http://10.16.73.230:8082/index"/>
    <hyperlink ref="H167" r:id="rId9" display="http://10.16.73.230:8082/index"/>
    <hyperlink ref="H238" r:id="rId10" display="http://10.16.73.230:8082/index"/>
    <hyperlink ref="H252" r:id="rId11" display="http://10.16.73.230:8082/index"/>
    <hyperlink ref="H142" r:id="rId12" display="http://10.16.73.230:8082/index"/>
  </hyperlinks>
  <pageMargins left="0.7" right="0.7" top="0.75" bottom="0.75" header="0.3" footer="0.3"/>
  <drawing r:id="rId1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errorStyle="information" allowBlank="1" showInputMessage="1" showErrorMessage="1">
          <x14:formula1>
            <xm:f>Actions!$D:$D</xm:f>
          </x14:formula1>
          <xm:sqref>E227:E229</xm:sqref>
        </x14:dataValidation>
        <x14:dataValidation type="list" errorStyle="information" allowBlank="1" showInputMessage="1" showErrorMessage="1">
          <x14:formula1>
            <xm:f>Actions!$D:$D</xm:f>
          </x14:formula1>
          <xm:sqref>E285:E1048576</xm:sqref>
        </x14:dataValidation>
        <x14:dataValidation type="list" errorStyle="information" allowBlank="1" showInputMessage="1" showErrorMessage="1">
          <x14:formula1>
            <xm:f>Actions!$D:$D</xm:f>
          </x14:formula1>
          <xm:sqref>E281:E283</xm:sqref>
        </x14:dataValidation>
        <x14:dataValidation type="list" errorStyle="information" allowBlank="1" showInputMessage="1" showErrorMessage="1">
          <x14:formula1>
            <xm:f>Actions!$D:$D</xm:f>
          </x14:formula1>
          <xm:sqref>E231:E279</xm:sqref>
        </x14:dataValidation>
        <x14:dataValidation type="list" errorStyle="information" allowBlank="1" showInputMessage="1" showErrorMessage="1">
          <x14:formula1>
            <xm:f>Actions!$D:$D</xm:f>
          </x14:formula1>
          <xm:sqref>E94:E148</xm:sqref>
        </x14:dataValidation>
        <x14:dataValidation type="list" errorStyle="information" allowBlank="1" showInputMessage="1" showErrorMessage="1">
          <x14:formula1>
            <xm:f>Actions!$D:$D</xm:f>
          </x14:formula1>
          <xm:sqref>E150:E225</xm:sqref>
        </x14:dataValidation>
        <x14:dataValidation type="list" errorStyle="information" allowBlank="1" showInputMessage="1" showErrorMessage="1">
          <x14:formula1>
            <xm:f>Actions!$D:$D</xm:f>
          </x14:formula1>
          <xm:sqref>E1:E92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530"/>
  <sheetViews>
    <sheetView tabSelected="1" topLeftCell="A324" workbookViewId="0">
      <selection activeCell="E332" sqref="E332"/>
    </sheetView>
  </sheetViews>
  <sheetFormatPr defaultColWidth="9" defaultRowHeight="14" x14ac:dyDescent="0.25"/>
  <cols>
    <col min="2" max="2" width="18.6328125" customWidth="1"/>
    <col min="3" max="3" width="21.36328125" customWidth="1"/>
    <col min="4" max="4" width="17.7265625" customWidth="1"/>
    <col min="5" max="5" width="18.26953125" customWidth="1"/>
    <col min="6" max="6" width="23.90625" customWidth="1"/>
    <col min="7" max="7" width="17.90625" customWidth="1"/>
    <col min="8" max="8" width="36.6328125" customWidth="1"/>
    <col min="9" max="9" width="18.90625" customWidth="1"/>
    <col min="10" max="10" width="19.08984375" customWidth="1"/>
  </cols>
  <sheetData>
    <row r="1" spans="1:18" s="1" customFormat="1" ht="30" customHeight="1" x14ac:dyDescent="0.25">
      <c r="A1" s="2"/>
      <c r="B1" s="3"/>
      <c r="C1" s="8">
        <f>COUNTA($E$4:$E$5211)+3+COUNTIF($A$4:$A$5209,"CommonCase")</f>
        <v>337</v>
      </c>
      <c r="E1" s="16" t="s">
        <v>48</v>
      </c>
      <c r="F1" s="17" t="s">
        <v>110</v>
      </c>
      <c r="G1" s="63" t="s">
        <v>541</v>
      </c>
      <c r="H1" s="62" t="s">
        <v>529</v>
      </c>
      <c r="I1" s="62" t="s">
        <v>529</v>
      </c>
      <c r="J1" s="62" t="s">
        <v>529</v>
      </c>
    </row>
    <row r="2" spans="1:18" ht="16" customHeight="1" x14ac:dyDescent="0.25">
      <c r="A2" s="107" t="s">
        <v>114</v>
      </c>
      <c r="B2" s="107" t="s">
        <v>115</v>
      </c>
      <c r="C2" s="107" t="s">
        <v>116</v>
      </c>
      <c r="D2" s="107" t="s">
        <v>36</v>
      </c>
      <c r="E2" s="107"/>
      <c r="F2" s="105" t="s">
        <v>117</v>
      </c>
      <c r="G2" s="105" t="s">
        <v>33</v>
      </c>
      <c r="H2" s="106" t="s">
        <v>37</v>
      </c>
      <c r="I2" s="106"/>
      <c r="J2" s="106"/>
      <c r="K2" s="106"/>
      <c r="L2" s="106"/>
      <c r="M2" s="106"/>
      <c r="N2" s="106"/>
      <c r="O2" s="106"/>
      <c r="P2" s="106"/>
      <c r="Q2" s="106"/>
      <c r="R2" s="103" t="s">
        <v>31</v>
      </c>
    </row>
    <row r="3" spans="1:18" ht="28" x14ac:dyDescent="0.25">
      <c r="A3" s="107"/>
      <c r="B3" s="107"/>
      <c r="C3" s="107"/>
      <c r="D3" s="90" t="s">
        <v>118</v>
      </c>
      <c r="E3" s="90" t="s">
        <v>119</v>
      </c>
      <c r="F3" s="105"/>
      <c r="G3" s="105"/>
      <c r="H3" s="89" t="s">
        <v>38</v>
      </c>
      <c r="I3" s="89" t="s">
        <v>39</v>
      </c>
      <c r="J3" s="89" t="s">
        <v>40</v>
      </c>
      <c r="K3" s="89" t="s">
        <v>41</v>
      </c>
      <c r="L3" s="89" t="s">
        <v>42</v>
      </c>
      <c r="M3" s="89" t="s">
        <v>43</v>
      </c>
      <c r="N3" s="89" t="s">
        <v>44</v>
      </c>
      <c r="O3" s="89" t="s">
        <v>45</v>
      </c>
      <c r="P3" s="89" t="s">
        <v>46</v>
      </c>
      <c r="Q3" s="89" t="s">
        <v>47</v>
      </c>
      <c r="R3" s="103"/>
    </row>
    <row r="4" spans="1:18" s="1" customFormat="1" x14ac:dyDescent="0.25">
      <c r="A4" s="27">
        <v>1</v>
      </c>
      <c r="B4" s="42" t="s">
        <v>544</v>
      </c>
      <c r="C4" s="42" t="s">
        <v>545</v>
      </c>
      <c r="D4" s="42" t="s">
        <v>546</v>
      </c>
      <c r="E4" s="42" t="s">
        <v>15</v>
      </c>
      <c r="F4" s="5"/>
      <c r="G4" s="5"/>
      <c r="H4" s="43" t="s">
        <v>948</v>
      </c>
      <c r="I4" s="43"/>
      <c r="J4" s="43"/>
      <c r="K4" s="43"/>
      <c r="L4" s="5"/>
      <c r="M4" s="5"/>
      <c r="N4" s="5"/>
      <c r="O4" s="5"/>
      <c r="P4" s="5"/>
      <c r="Q4" s="5"/>
      <c r="R4" s="5"/>
    </row>
    <row r="5" spans="1:18" s="1" customFormat="1" x14ac:dyDescent="0.25">
      <c r="A5" s="27"/>
      <c r="B5" s="42"/>
      <c r="C5" s="42"/>
      <c r="D5" s="42" t="s">
        <v>548</v>
      </c>
      <c r="E5" s="42" t="s">
        <v>67</v>
      </c>
      <c r="F5" s="42" t="s">
        <v>549</v>
      </c>
      <c r="G5" s="42" t="s">
        <v>550</v>
      </c>
      <c r="H5" s="42" t="s">
        <v>655</v>
      </c>
      <c r="I5" s="42"/>
      <c r="J5" s="42"/>
      <c r="K5" s="5"/>
      <c r="L5" s="5"/>
      <c r="M5" s="5"/>
      <c r="N5" s="5"/>
      <c r="O5" s="5"/>
      <c r="P5" s="5"/>
      <c r="Q5" s="5"/>
      <c r="R5" s="5"/>
    </row>
    <row r="6" spans="1:18" s="1" customFormat="1" ht="14.25" customHeight="1" x14ac:dyDescent="0.25">
      <c r="A6" s="27"/>
      <c r="B6" s="5"/>
      <c r="C6" s="5"/>
      <c r="D6" s="42" t="s">
        <v>555</v>
      </c>
      <c r="E6" s="42" t="s">
        <v>67</v>
      </c>
      <c r="F6" s="42" t="s">
        <v>549</v>
      </c>
      <c r="G6" s="42" t="s">
        <v>552</v>
      </c>
      <c r="H6" s="76" t="s">
        <v>951</v>
      </c>
      <c r="I6" s="42"/>
      <c r="J6" s="42"/>
      <c r="K6" s="5"/>
      <c r="L6" s="5"/>
      <c r="M6" s="5"/>
      <c r="N6" s="5"/>
      <c r="O6" s="5"/>
      <c r="P6" s="5"/>
      <c r="Q6" s="5"/>
      <c r="R6" s="5"/>
    </row>
    <row r="7" spans="1:18" s="1" customFormat="1" x14ac:dyDescent="0.25">
      <c r="A7" s="27"/>
      <c r="B7" s="5"/>
      <c r="C7" s="5"/>
      <c r="D7" s="42" t="s">
        <v>556</v>
      </c>
      <c r="E7" s="42" t="s">
        <v>73</v>
      </c>
      <c r="F7" s="42" t="s">
        <v>549</v>
      </c>
      <c r="G7" s="42" t="s">
        <v>554</v>
      </c>
      <c r="H7" s="5"/>
      <c r="I7" s="5"/>
      <c r="J7" s="5"/>
      <c r="K7" s="5"/>
      <c r="L7" s="5"/>
      <c r="M7" s="5"/>
      <c r="N7" s="5"/>
      <c r="O7" s="5"/>
      <c r="P7" s="5"/>
      <c r="Q7" s="5"/>
      <c r="R7" s="5"/>
    </row>
    <row r="8" spans="1:18" s="1" customFormat="1" x14ac:dyDescent="0.25">
      <c r="A8" s="27"/>
      <c r="B8" s="5"/>
      <c r="C8" s="5"/>
      <c r="D8" s="42" t="s">
        <v>578</v>
      </c>
      <c r="E8" s="42" t="s">
        <v>568</v>
      </c>
      <c r="F8" s="42" t="s">
        <v>564</v>
      </c>
      <c r="G8" s="42" t="s">
        <v>577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</row>
    <row r="9" spans="1:18" s="1" customFormat="1" ht="28" x14ac:dyDescent="0.25">
      <c r="A9" s="27"/>
      <c r="B9" s="5"/>
      <c r="C9" s="5"/>
      <c r="D9" s="42" t="s">
        <v>977</v>
      </c>
      <c r="E9" s="42" t="s">
        <v>528</v>
      </c>
      <c r="F9" s="42" t="s">
        <v>564</v>
      </c>
      <c r="G9" s="42" t="s">
        <v>579</v>
      </c>
      <c r="H9" s="5"/>
      <c r="I9" s="5"/>
      <c r="J9" s="5"/>
      <c r="K9" s="5"/>
      <c r="L9" s="5"/>
      <c r="M9" s="5"/>
      <c r="N9" s="5"/>
      <c r="O9" s="5"/>
      <c r="P9" s="5"/>
      <c r="Q9" s="5"/>
      <c r="R9" s="5"/>
    </row>
    <row r="10" spans="1:18" s="1" customFormat="1" x14ac:dyDescent="0.25">
      <c r="A10" s="27"/>
      <c r="B10" s="5"/>
      <c r="C10" s="5"/>
      <c r="D10" s="42" t="s">
        <v>580</v>
      </c>
      <c r="E10" s="42" t="s">
        <v>5</v>
      </c>
      <c r="F10" s="42" t="s">
        <v>564</v>
      </c>
      <c r="G10" s="42" t="s">
        <v>579</v>
      </c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</row>
    <row r="11" spans="1:18" s="1" customFormat="1" x14ac:dyDescent="0.25">
      <c r="A11" s="27"/>
      <c r="B11" s="5"/>
      <c r="C11" s="5"/>
      <c r="D11" s="42" t="s">
        <v>581</v>
      </c>
      <c r="E11" s="42" t="s">
        <v>4</v>
      </c>
      <c r="F11" s="42" t="s">
        <v>564</v>
      </c>
      <c r="G11" s="42" t="s">
        <v>582</v>
      </c>
      <c r="H11" s="42" t="s">
        <v>609</v>
      </c>
      <c r="I11" s="5"/>
      <c r="J11" s="5"/>
      <c r="K11" s="5"/>
      <c r="L11" s="5"/>
      <c r="M11" s="5"/>
      <c r="N11" s="5"/>
      <c r="O11" s="5"/>
      <c r="P11" s="5"/>
      <c r="Q11" s="5"/>
      <c r="R11" s="5"/>
    </row>
    <row r="12" spans="1:18" s="1" customFormat="1" x14ac:dyDescent="0.25">
      <c r="A12" s="27"/>
      <c r="B12" s="5"/>
      <c r="C12" s="5"/>
      <c r="D12" s="42" t="s">
        <v>583</v>
      </c>
      <c r="E12" s="42" t="s">
        <v>212</v>
      </c>
      <c r="F12" s="42" t="s">
        <v>564</v>
      </c>
      <c r="G12" s="42" t="s">
        <v>582</v>
      </c>
      <c r="H12" s="42" t="s">
        <v>213</v>
      </c>
      <c r="I12" s="5"/>
      <c r="J12" s="5"/>
      <c r="K12" s="5"/>
      <c r="L12" s="5"/>
      <c r="M12" s="5"/>
      <c r="N12" s="5"/>
      <c r="O12" s="5"/>
      <c r="P12" s="5"/>
      <c r="Q12" s="5"/>
      <c r="R12" s="5"/>
    </row>
    <row r="13" spans="1:18" s="1" customFormat="1" x14ac:dyDescent="0.25">
      <c r="A13" s="27"/>
      <c r="B13" s="5"/>
      <c r="C13" s="5"/>
      <c r="D13" s="42" t="s">
        <v>610</v>
      </c>
      <c r="E13" s="42" t="s">
        <v>5</v>
      </c>
      <c r="F13" s="42" t="s">
        <v>564</v>
      </c>
      <c r="G13" s="42" t="s">
        <v>585</v>
      </c>
      <c r="H13" s="42"/>
      <c r="I13" s="5"/>
      <c r="J13" s="5"/>
      <c r="K13" s="5"/>
      <c r="L13" s="5"/>
      <c r="M13" s="5"/>
      <c r="N13" s="5"/>
      <c r="O13" s="5"/>
      <c r="P13" s="5"/>
      <c r="Q13" s="5"/>
      <c r="R13" s="5"/>
    </row>
    <row r="14" spans="1:18" s="1" customFormat="1" x14ac:dyDescent="0.25">
      <c r="A14" s="27"/>
      <c r="B14" s="5"/>
      <c r="C14" s="5"/>
      <c r="D14" s="42" t="s">
        <v>563</v>
      </c>
      <c r="E14" s="42" t="s">
        <v>5</v>
      </c>
      <c r="F14" s="42" t="s">
        <v>564</v>
      </c>
      <c r="G14" s="42" t="s">
        <v>586</v>
      </c>
      <c r="I14" s="5"/>
      <c r="J14" s="5"/>
      <c r="K14" s="5"/>
      <c r="L14" s="5"/>
      <c r="M14" s="5"/>
      <c r="N14" s="5"/>
      <c r="O14" s="5"/>
      <c r="P14" s="5"/>
      <c r="Q14" s="5"/>
      <c r="R14" s="5"/>
    </row>
    <row r="15" spans="1:18" s="1" customFormat="1" x14ac:dyDescent="0.25">
      <c r="A15" s="27">
        <v>0</v>
      </c>
      <c r="B15" s="42" t="s">
        <v>595</v>
      </c>
      <c r="C15" s="42" t="s">
        <v>566</v>
      </c>
      <c r="D15" s="42" t="s">
        <v>562</v>
      </c>
      <c r="E15" s="42" t="s">
        <v>15</v>
      </c>
      <c r="F15" s="42" t="s">
        <v>564</v>
      </c>
      <c r="G15" s="42"/>
      <c r="H15" s="76" t="s">
        <v>949</v>
      </c>
      <c r="I15" s="5"/>
      <c r="J15" s="5"/>
      <c r="K15" s="5"/>
      <c r="L15" s="5"/>
      <c r="M15" s="5"/>
      <c r="N15" s="5"/>
      <c r="O15" s="5"/>
      <c r="P15" s="5"/>
      <c r="Q15" s="5"/>
      <c r="R15" s="5"/>
    </row>
    <row r="16" spans="1:18" s="1" customFormat="1" x14ac:dyDescent="0.25">
      <c r="A16" s="27"/>
      <c r="B16" s="5"/>
      <c r="C16" s="5"/>
      <c r="D16" s="42" t="s">
        <v>578</v>
      </c>
      <c r="E16" s="42" t="s">
        <v>568</v>
      </c>
      <c r="F16" s="42" t="s">
        <v>564</v>
      </c>
      <c r="G16" s="42" t="s">
        <v>577</v>
      </c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</row>
    <row r="17" spans="1:18" s="1" customFormat="1" ht="28" x14ac:dyDescent="0.25">
      <c r="A17" s="27"/>
      <c r="B17" s="5"/>
      <c r="C17" s="5"/>
      <c r="D17" s="42" t="s">
        <v>977</v>
      </c>
      <c r="E17" s="42" t="s">
        <v>976</v>
      </c>
      <c r="F17" s="42" t="s">
        <v>564</v>
      </c>
      <c r="G17" s="42" t="s">
        <v>579</v>
      </c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</row>
    <row r="18" spans="1:18" s="1" customFormat="1" x14ac:dyDescent="0.25">
      <c r="A18" s="27"/>
      <c r="B18" s="5"/>
      <c r="C18" s="5"/>
      <c r="D18" s="42" t="s">
        <v>580</v>
      </c>
      <c r="E18" s="42" t="s">
        <v>5</v>
      </c>
      <c r="F18" s="42" t="s">
        <v>564</v>
      </c>
      <c r="G18" s="42" t="s">
        <v>579</v>
      </c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</row>
    <row r="19" spans="1:18" s="1" customFormat="1" x14ac:dyDescent="0.25">
      <c r="A19" s="27"/>
      <c r="B19" s="5"/>
      <c r="C19" s="5"/>
      <c r="D19" s="42" t="s">
        <v>581</v>
      </c>
      <c r="E19" s="42" t="s">
        <v>4</v>
      </c>
      <c r="F19" s="42" t="s">
        <v>564</v>
      </c>
      <c r="G19" s="42" t="s">
        <v>582</v>
      </c>
      <c r="H19" s="42" t="s">
        <v>609</v>
      </c>
      <c r="I19" s="5"/>
      <c r="J19" s="5"/>
      <c r="K19" s="5"/>
      <c r="L19" s="5"/>
      <c r="M19" s="5"/>
      <c r="N19" s="5"/>
      <c r="O19" s="5"/>
      <c r="P19" s="5"/>
      <c r="Q19" s="5"/>
      <c r="R19" s="5"/>
    </row>
    <row r="20" spans="1:18" s="1" customFormat="1" x14ac:dyDescent="0.25">
      <c r="A20" s="27"/>
      <c r="B20" s="5"/>
      <c r="C20" s="5"/>
      <c r="D20" s="42" t="s">
        <v>583</v>
      </c>
      <c r="E20" s="42" t="s">
        <v>607</v>
      </c>
      <c r="F20" s="42" t="s">
        <v>564</v>
      </c>
      <c r="G20" s="42" t="s">
        <v>582</v>
      </c>
      <c r="H20" s="42" t="s">
        <v>608</v>
      </c>
      <c r="I20" s="5"/>
      <c r="J20" s="5"/>
      <c r="K20" s="5"/>
      <c r="L20" s="5"/>
      <c r="M20" s="5"/>
      <c r="N20" s="5"/>
      <c r="O20" s="5"/>
      <c r="P20" s="5"/>
      <c r="Q20" s="5"/>
      <c r="R20" s="5"/>
    </row>
    <row r="21" spans="1:18" s="1" customFormat="1" x14ac:dyDescent="0.25">
      <c r="A21" s="27"/>
      <c r="B21" s="5"/>
      <c r="C21" s="5"/>
      <c r="D21" s="42" t="s">
        <v>610</v>
      </c>
      <c r="E21" s="42" t="s">
        <v>5</v>
      </c>
      <c r="F21" s="42" t="s">
        <v>564</v>
      </c>
      <c r="G21" s="42" t="s">
        <v>585</v>
      </c>
      <c r="H21" s="42"/>
      <c r="I21" s="5"/>
      <c r="J21" s="5"/>
      <c r="K21" s="5"/>
      <c r="L21" s="5"/>
      <c r="M21" s="5"/>
      <c r="N21" s="5"/>
      <c r="O21" s="5"/>
      <c r="P21" s="5"/>
      <c r="Q21" s="5"/>
      <c r="R21" s="5"/>
    </row>
    <row r="22" spans="1:18" s="1" customFormat="1" x14ac:dyDescent="0.25">
      <c r="A22" s="27"/>
      <c r="B22" s="5"/>
      <c r="C22" s="5"/>
      <c r="D22" s="42" t="s">
        <v>563</v>
      </c>
      <c r="E22" s="42" t="s">
        <v>5</v>
      </c>
      <c r="F22" s="42" t="s">
        <v>564</v>
      </c>
      <c r="G22" s="42" t="s">
        <v>586</v>
      </c>
      <c r="I22" s="5"/>
      <c r="J22" s="5"/>
      <c r="K22" s="5"/>
      <c r="L22" s="5"/>
      <c r="M22" s="5"/>
      <c r="N22" s="5"/>
      <c r="O22" s="5"/>
      <c r="P22" s="5"/>
      <c r="Q22" s="5"/>
      <c r="R22" s="5"/>
    </row>
    <row r="23" spans="1:18" s="1" customFormat="1" x14ac:dyDescent="0.25">
      <c r="A23" s="27"/>
      <c r="B23" s="5"/>
      <c r="C23" s="5"/>
      <c r="D23" s="42" t="s">
        <v>613</v>
      </c>
      <c r="E23" s="42" t="s">
        <v>680</v>
      </c>
      <c r="F23" s="42" t="s">
        <v>564</v>
      </c>
      <c r="G23" s="42" t="s">
        <v>611</v>
      </c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</row>
    <row r="24" spans="1:18" s="1" customFormat="1" x14ac:dyDescent="0.25">
      <c r="A24" s="27"/>
      <c r="B24" s="5"/>
      <c r="C24" s="5"/>
      <c r="D24" s="42" t="s">
        <v>614</v>
      </c>
      <c r="E24" s="42" t="s">
        <v>5</v>
      </c>
      <c r="F24" s="42" t="s">
        <v>564</v>
      </c>
      <c r="G24" s="42" t="s">
        <v>612</v>
      </c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</row>
    <row r="25" spans="1:18" s="1" customFormat="1" x14ac:dyDescent="0.25">
      <c r="A25" s="27"/>
      <c r="B25" s="5"/>
      <c r="C25" s="5"/>
      <c r="D25" s="42" t="s">
        <v>620</v>
      </c>
      <c r="E25" s="42" t="s">
        <v>5</v>
      </c>
      <c r="F25" s="42" t="s">
        <v>821</v>
      </c>
      <c r="G25" s="42" t="s">
        <v>615</v>
      </c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</row>
    <row r="26" spans="1:18" s="1" customFormat="1" ht="28" x14ac:dyDescent="0.25">
      <c r="A26" s="27"/>
      <c r="B26" s="5"/>
      <c r="C26" s="5"/>
      <c r="D26" s="42" t="s">
        <v>621</v>
      </c>
      <c r="E26" s="42" t="s">
        <v>49</v>
      </c>
      <c r="F26" s="42" t="s">
        <v>821</v>
      </c>
      <c r="G26" s="42" t="s">
        <v>616</v>
      </c>
      <c r="H26" s="42" t="s">
        <v>1000</v>
      </c>
      <c r="I26" s="5"/>
      <c r="J26" s="5"/>
      <c r="K26" s="5"/>
      <c r="L26" s="5"/>
      <c r="M26" s="5"/>
      <c r="N26" s="5"/>
      <c r="O26" s="5"/>
      <c r="P26" s="5"/>
      <c r="Q26" s="5"/>
      <c r="R26" s="5"/>
    </row>
    <row r="27" spans="1:18" s="1" customFormat="1" ht="28" x14ac:dyDescent="0.25">
      <c r="A27" s="27"/>
      <c r="B27" s="5"/>
      <c r="C27" s="5"/>
      <c r="D27" s="42" t="s">
        <v>701</v>
      </c>
      <c r="E27" s="42" t="s">
        <v>703</v>
      </c>
      <c r="F27" s="42" t="s">
        <v>821</v>
      </c>
      <c r="G27" s="42" t="s">
        <v>616</v>
      </c>
      <c r="H27" s="42" t="s">
        <v>700</v>
      </c>
      <c r="I27" s="5"/>
      <c r="J27" s="5"/>
      <c r="K27" s="5"/>
      <c r="L27" s="5"/>
      <c r="M27" s="5"/>
      <c r="N27" s="5"/>
      <c r="O27" s="5"/>
      <c r="P27" s="5"/>
      <c r="Q27" s="5"/>
      <c r="R27" s="5"/>
    </row>
    <row r="28" spans="1:18" s="1" customFormat="1" ht="28" x14ac:dyDescent="0.25">
      <c r="A28" s="27"/>
      <c r="B28" s="5"/>
      <c r="C28" s="5"/>
      <c r="D28" s="42" t="s">
        <v>622</v>
      </c>
      <c r="E28" s="42" t="s">
        <v>4</v>
      </c>
      <c r="F28" s="42" t="s">
        <v>821</v>
      </c>
      <c r="G28" s="42" t="s">
        <v>617</v>
      </c>
      <c r="H28" s="42" t="s">
        <v>609</v>
      </c>
      <c r="I28" s="5"/>
      <c r="J28" s="5"/>
      <c r="K28" s="5"/>
      <c r="L28" s="5"/>
      <c r="M28" s="5"/>
      <c r="N28" s="5"/>
      <c r="O28" s="5"/>
      <c r="P28" s="5"/>
      <c r="Q28" s="5"/>
      <c r="R28" s="5"/>
    </row>
    <row r="29" spans="1:18" s="1" customFormat="1" x14ac:dyDescent="0.25">
      <c r="A29" s="27"/>
      <c r="B29" s="5"/>
      <c r="C29" s="5"/>
      <c r="D29" s="42" t="s">
        <v>648</v>
      </c>
      <c r="E29" s="42" t="s">
        <v>5</v>
      </c>
      <c r="F29" s="42" t="s">
        <v>821</v>
      </c>
      <c r="G29" s="42" t="s">
        <v>1032</v>
      </c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</row>
    <row r="30" spans="1:18" s="1" customFormat="1" ht="28" x14ac:dyDescent="0.25">
      <c r="A30" s="27"/>
      <c r="B30" s="5"/>
      <c r="C30" s="5"/>
      <c r="D30" s="42" t="s">
        <v>623</v>
      </c>
      <c r="E30" s="42" t="s">
        <v>5</v>
      </c>
      <c r="F30" s="42" t="s">
        <v>821</v>
      </c>
      <c r="G30" s="42" t="s">
        <v>618</v>
      </c>
      <c r="H30" s="42"/>
      <c r="I30" s="5"/>
      <c r="J30" s="5"/>
      <c r="K30" s="5"/>
      <c r="L30" s="5"/>
      <c r="M30" s="5"/>
      <c r="N30" s="5"/>
      <c r="O30" s="5"/>
      <c r="P30" s="5"/>
      <c r="Q30" s="5"/>
      <c r="R30" s="5"/>
    </row>
    <row r="31" spans="1:18" s="1" customFormat="1" ht="28" x14ac:dyDescent="0.25">
      <c r="A31" s="27"/>
      <c r="B31" s="5"/>
      <c r="C31" s="5"/>
      <c r="D31" s="42" t="s">
        <v>674</v>
      </c>
      <c r="E31" s="42" t="s">
        <v>680</v>
      </c>
      <c r="F31" s="42" t="s">
        <v>821</v>
      </c>
      <c r="G31" s="42" t="s">
        <v>674</v>
      </c>
      <c r="H31" s="42"/>
      <c r="I31" s="5"/>
      <c r="J31" s="5"/>
      <c r="K31" s="5"/>
      <c r="L31" s="5"/>
      <c r="M31" s="5"/>
      <c r="N31" s="5"/>
      <c r="O31" s="5"/>
      <c r="P31" s="5"/>
      <c r="Q31" s="5"/>
      <c r="R31" s="5"/>
    </row>
    <row r="32" spans="1:18" s="1" customFormat="1" ht="28" x14ac:dyDescent="0.25">
      <c r="A32" s="27"/>
      <c r="B32" s="5"/>
      <c r="C32" s="5"/>
      <c r="D32" s="42" t="s">
        <v>675</v>
      </c>
      <c r="E32" s="42" t="s">
        <v>680</v>
      </c>
      <c r="F32" s="42" t="s">
        <v>821</v>
      </c>
      <c r="G32" s="42" t="s">
        <v>675</v>
      </c>
      <c r="H32" s="42"/>
      <c r="I32" s="5"/>
      <c r="J32" s="5"/>
      <c r="K32" s="5"/>
      <c r="L32" s="5"/>
      <c r="M32" s="5"/>
      <c r="N32" s="5"/>
      <c r="O32" s="5"/>
      <c r="P32" s="5"/>
      <c r="Q32" s="5"/>
      <c r="R32" s="5"/>
    </row>
    <row r="33" spans="1:18" s="1" customFormat="1" ht="28" x14ac:dyDescent="0.25">
      <c r="A33" s="27"/>
      <c r="B33" s="5"/>
      <c r="C33" s="5"/>
      <c r="D33" s="42" t="s">
        <v>676</v>
      </c>
      <c r="E33" s="42" t="s">
        <v>5</v>
      </c>
      <c r="F33" s="42" t="s">
        <v>821</v>
      </c>
      <c r="G33" s="42" t="s">
        <v>676</v>
      </c>
      <c r="H33" s="42"/>
      <c r="I33" s="5"/>
      <c r="J33" s="5"/>
      <c r="K33" s="5"/>
      <c r="L33" s="5"/>
      <c r="M33" s="5"/>
      <c r="N33" s="5"/>
      <c r="O33" s="5"/>
      <c r="P33" s="5"/>
      <c r="Q33" s="5"/>
      <c r="R33" s="5"/>
    </row>
    <row r="34" spans="1:18" s="1" customFormat="1" ht="28" x14ac:dyDescent="0.25">
      <c r="A34" s="27"/>
      <c r="B34" s="5"/>
      <c r="C34" s="5"/>
      <c r="D34" s="42" t="s">
        <v>641</v>
      </c>
      <c r="E34" s="42" t="s">
        <v>4</v>
      </c>
      <c r="F34" s="42" t="s">
        <v>821</v>
      </c>
      <c r="G34" s="42" t="s">
        <v>625</v>
      </c>
      <c r="H34" s="42" t="s">
        <v>653</v>
      </c>
      <c r="I34" s="5"/>
      <c r="J34" s="5"/>
      <c r="K34" s="5"/>
      <c r="L34" s="5"/>
      <c r="M34" s="5"/>
      <c r="N34" s="5"/>
      <c r="O34" s="5"/>
      <c r="P34" s="5"/>
      <c r="Q34" s="5"/>
      <c r="R34" s="5"/>
    </row>
    <row r="35" spans="1:18" s="1" customFormat="1" ht="28" x14ac:dyDescent="0.25">
      <c r="A35" s="27"/>
      <c r="B35" s="5"/>
      <c r="C35" s="5"/>
      <c r="D35" s="42" t="s">
        <v>642</v>
      </c>
      <c r="E35" s="42" t="s">
        <v>4</v>
      </c>
      <c r="F35" s="42" t="s">
        <v>821</v>
      </c>
      <c r="G35" s="42" t="s">
        <v>626</v>
      </c>
      <c r="H35" s="42" t="s">
        <v>653</v>
      </c>
      <c r="I35" s="5"/>
      <c r="J35" s="5"/>
      <c r="K35" s="5"/>
      <c r="L35" s="5"/>
      <c r="M35" s="5"/>
      <c r="N35" s="5"/>
      <c r="O35" s="5"/>
      <c r="P35" s="5"/>
      <c r="Q35" s="5"/>
      <c r="R35" s="5"/>
    </row>
    <row r="36" spans="1:18" s="1" customFormat="1" ht="28" x14ac:dyDescent="0.25">
      <c r="A36" s="27"/>
      <c r="B36" s="5"/>
      <c r="C36" s="5"/>
      <c r="D36" s="42" t="s">
        <v>643</v>
      </c>
      <c r="E36" s="42" t="s">
        <v>4</v>
      </c>
      <c r="F36" s="42" t="s">
        <v>821</v>
      </c>
      <c r="G36" s="42" t="s">
        <v>627</v>
      </c>
      <c r="H36" s="42" t="s">
        <v>654</v>
      </c>
      <c r="I36" s="5"/>
      <c r="J36" s="5"/>
      <c r="K36" s="5"/>
      <c r="L36" s="5"/>
      <c r="M36" s="5"/>
      <c r="N36" s="5"/>
      <c r="O36" s="5"/>
      <c r="P36" s="5"/>
      <c r="Q36" s="5"/>
      <c r="R36" s="5"/>
    </row>
    <row r="37" spans="1:18" s="1" customFormat="1" x14ac:dyDescent="0.25">
      <c r="A37" s="27"/>
      <c r="B37" s="5"/>
      <c r="C37" s="5"/>
      <c r="D37" s="42" t="s">
        <v>649</v>
      </c>
      <c r="E37" s="42" t="s">
        <v>5</v>
      </c>
      <c r="F37" s="42" t="s">
        <v>821</v>
      </c>
      <c r="G37" s="42" t="s">
        <v>1032</v>
      </c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</row>
    <row r="38" spans="1:18" s="1" customFormat="1" ht="28" x14ac:dyDescent="0.25">
      <c r="A38" s="27"/>
      <c r="B38" s="5"/>
      <c r="C38" s="5"/>
      <c r="D38" s="42" t="s">
        <v>644</v>
      </c>
      <c r="E38" s="42" t="s">
        <v>4</v>
      </c>
      <c r="F38" s="42" t="s">
        <v>821</v>
      </c>
      <c r="G38" s="42" t="s">
        <v>628</v>
      </c>
      <c r="H38" s="42" t="s">
        <v>654</v>
      </c>
      <c r="I38" s="5"/>
      <c r="J38" s="5"/>
      <c r="K38" s="5"/>
      <c r="L38" s="5"/>
      <c r="M38" s="5"/>
      <c r="N38" s="5"/>
      <c r="O38" s="5"/>
      <c r="P38" s="5"/>
      <c r="Q38" s="5"/>
      <c r="R38" s="5"/>
    </row>
    <row r="39" spans="1:18" s="1" customFormat="1" x14ac:dyDescent="0.25">
      <c r="A39" s="27"/>
      <c r="B39" s="5"/>
      <c r="C39" s="5"/>
      <c r="D39" s="42" t="s">
        <v>650</v>
      </c>
      <c r="E39" s="42" t="s">
        <v>5</v>
      </c>
      <c r="F39" s="42" t="s">
        <v>821</v>
      </c>
      <c r="G39" s="42" t="s">
        <v>1032</v>
      </c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</row>
    <row r="40" spans="1:18" s="1" customFormat="1" ht="28" x14ac:dyDescent="0.25">
      <c r="A40" s="27"/>
      <c r="B40" s="5"/>
      <c r="C40" s="5"/>
      <c r="D40" s="42" t="s">
        <v>637</v>
      </c>
      <c r="E40" s="42" t="s">
        <v>5</v>
      </c>
      <c r="F40" s="42" t="s">
        <v>821</v>
      </c>
      <c r="G40" s="42" t="s">
        <v>629</v>
      </c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</row>
    <row r="41" spans="1:18" s="1" customFormat="1" ht="28" x14ac:dyDescent="0.25">
      <c r="A41" s="27"/>
      <c r="B41" s="5"/>
      <c r="C41" s="5"/>
      <c r="D41" s="42" t="s">
        <v>638</v>
      </c>
      <c r="E41" s="42" t="s">
        <v>5</v>
      </c>
      <c r="F41" s="42" t="s">
        <v>821</v>
      </c>
      <c r="G41" s="42" t="s">
        <v>630</v>
      </c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</row>
    <row r="42" spans="1:18" s="1" customFormat="1" ht="28" x14ac:dyDescent="0.25">
      <c r="A42" s="27"/>
      <c r="B42" s="5"/>
      <c r="C42" s="5"/>
      <c r="D42" s="42" t="s">
        <v>645</v>
      </c>
      <c r="E42" s="42" t="s">
        <v>4</v>
      </c>
      <c r="F42" s="42" t="s">
        <v>821</v>
      </c>
      <c r="G42" s="42" t="s">
        <v>632</v>
      </c>
      <c r="H42" s="42" t="s">
        <v>983</v>
      </c>
      <c r="I42" s="5"/>
      <c r="J42" s="5"/>
      <c r="K42" s="5"/>
      <c r="L42" s="5"/>
      <c r="M42" s="5"/>
      <c r="N42" s="5"/>
      <c r="O42" s="5"/>
      <c r="P42" s="5"/>
      <c r="Q42" s="5"/>
      <c r="R42" s="5"/>
    </row>
    <row r="43" spans="1:18" s="1" customFormat="1" ht="28" x14ac:dyDescent="0.25">
      <c r="A43" s="27"/>
      <c r="B43" s="5"/>
      <c r="C43" s="5"/>
      <c r="D43" s="42" t="s">
        <v>646</v>
      </c>
      <c r="E43" s="42" t="s">
        <v>4</v>
      </c>
      <c r="F43" s="42" t="s">
        <v>821</v>
      </c>
      <c r="G43" s="42" t="s">
        <v>633</v>
      </c>
      <c r="H43" s="42" t="s">
        <v>609</v>
      </c>
      <c r="I43" s="5"/>
      <c r="J43" s="5"/>
      <c r="K43" s="5"/>
      <c r="L43" s="5"/>
      <c r="M43" s="5"/>
      <c r="N43" s="5"/>
      <c r="O43" s="5"/>
      <c r="P43" s="5"/>
      <c r="Q43" s="5"/>
      <c r="R43" s="5"/>
    </row>
    <row r="44" spans="1:18" s="1" customFormat="1" x14ac:dyDescent="0.25">
      <c r="A44" s="27"/>
      <c r="B44" s="5"/>
      <c r="C44" s="5"/>
      <c r="D44" s="42" t="s">
        <v>651</v>
      </c>
      <c r="E44" s="42" t="s">
        <v>5</v>
      </c>
      <c r="F44" s="42" t="s">
        <v>821</v>
      </c>
      <c r="G44" s="42" t="s">
        <v>1032</v>
      </c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</row>
    <row r="45" spans="1:18" s="1" customFormat="1" ht="28" x14ac:dyDescent="0.25">
      <c r="A45" s="27"/>
      <c r="B45" s="5"/>
      <c r="C45" s="5"/>
      <c r="D45" s="42" t="s">
        <v>647</v>
      </c>
      <c r="E45" s="42" t="s">
        <v>4</v>
      </c>
      <c r="F45" s="42" t="s">
        <v>821</v>
      </c>
      <c r="G45" s="42" t="s">
        <v>634</v>
      </c>
      <c r="H45" s="42" t="s">
        <v>983</v>
      </c>
      <c r="I45" s="5"/>
      <c r="J45" s="5"/>
      <c r="K45" s="5"/>
      <c r="L45" s="5"/>
      <c r="M45" s="5"/>
      <c r="N45" s="5"/>
      <c r="O45" s="5"/>
      <c r="P45" s="5"/>
      <c r="Q45" s="5"/>
      <c r="R45" s="5"/>
    </row>
    <row r="46" spans="1:18" s="1" customFormat="1" ht="28" x14ac:dyDescent="0.25">
      <c r="A46" s="27"/>
      <c r="B46" s="5"/>
      <c r="C46" s="5"/>
      <c r="D46" s="42" t="s">
        <v>639</v>
      </c>
      <c r="E46" s="42" t="s">
        <v>5</v>
      </c>
      <c r="F46" s="42" t="s">
        <v>821</v>
      </c>
      <c r="G46" s="42" t="s">
        <v>635</v>
      </c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</row>
    <row r="47" spans="1:18" s="1" customFormat="1" ht="28" x14ac:dyDescent="0.25">
      <c r="A47" s="27"/>
      <c r="B47" s="5"/>
      <c r="C47" s="5"/>
      <c r="D47" s="42" t="s">
        <v>640</v>
      </c>
      <c r="E47" s="42" t="s">
        <v>5</v>
      </c>
      <c r="F47" s="42" t="s">
        <v>821</v>
      </c>
      <c r="G47" s="42" t="s">
        <v>636</v>
      </c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</row>
    <row r="48" spans="1:18" s="1" customFormat="1" ht="28" x14ac:dyDescent="0.25">
      <c r="A48" s="27"/>
      <c r="B48" s="5"/>
      <c r="C48" s="5"/>
      <c r="D48" s="42" t="s">
        <v>685</v>
      </c>
      <c r="E48" s="42" t="s">
        <v>4</v>
      </c>
      <c r="F48" s="42" t="s">
        <v>821</v>
      </c>
      <c r="G48" s="42" t="s">
        <v>689</v>
      </c>
      <c r="H48" s="42" t="s">
        <v>693</v>
      </c>
      <c r="I48" s="5"/>
      <c r="J48" s="5"/>
      <c r="K48" s="5"/>
      <c r="L48" s="5"/>
      <c r="M48" s="5"/>
      <c r="N48" s="5"/>
      <c r="O48" s="5"/>
      <c r="P48" s="5"/>
      <c r="Q48" s="5"/>
      <c r="R48" s="5"/>
    </row>
    <row r="49" spans="1:18" s="1" customFormat="1" x14ac:dyDescent="0.25">
      <c r="A49" s="27"/>
      <c r="B49" s="5"/>
      <c r="C49" s="5"/>
      <c r="D49" s="42" t="s">
        <v>960</v>
      </c>
      <c r="E49" s="42" t="s">
        <v>5</v>
      </c>
      <c r="F49" s="42" t="s">
        <v>821</v>
      </c>
      <c r="G49" s="42" t="s">
        <v>1032</v>
      </c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</row>
    <row r="50" spans="1:18" s="1" customFormat="1" ht="28" x14ac:dyDescent="0.25">
      <c r="A50" s="27"/>
      <c r="B50" s="5"/>
      <c r="C50" s="5"/>
      <c r="D50" s="42" t="s">
        <v>686</v>
      </c>
      <c r="E50" s="42" t="s">
        <v>4</v>
      </c>
      <c r="F50" s="42" t="s">
        <v>821</v>
      </c>
      <c r="G50" s="42" t="s">
        <v>688</v>
      </c>
      <c r="H50" s="42" t="s">
        <v>694</v>
      </c>
      <c r="I50" s="5"/>
      <c r="J50" s="5"/>
      <c r="K50" s="5"/>
      <c r="L50" s="5"/>
      <c r="M50" s="5"/>
      <c r="N50" s="5"/>
      <c r="O50" s="5"/>
      <c r="P50" s="5"/>
      <c r="Q50" s="5"/>
      <c r="R50" s="5"/>
    </row>
    <row r="51" spans="1:18" s="1" customFormat="1" x14ac:dyDescent="0.25">
      <c r="A51" s="27"/>
      <c r="B51" s="5"/>
      <c r="C51" s="5"/>
      <c r="D51" s="42" t="s">
        <v>961</v>
      </c>
      <c r="E51" s="42" t="s">
        <v>5</v>
      </c>
      <c r="F51" s="42" t="s">
        <v>821</v>
      </c>
      <c r="G51" s="42" t="s">
        <v>1032</v>
      </c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</row>
    <row r="52" spans="1:18" s="1" customFormat="1" x14ac:dyDescent="0.25">
      <c r="A52" s="27"/>
      <c r="B52" s="5"/>
      <c r="C52" s="5"/>
      <c r="D52" s="42" t="s">
        <v>687</v>
      </c>
      <c r="E52" s="42" t="s">
        <v>5</v>
      </c>
      <c r="F52" s="42" t="s">
        <v>821</v>
      </c>
      <c r="G52" s="42" t="s">
        <v>692</v>
      </c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</row>
    <row r="53" spans="1:18" s="1" customFormat="1" x14ac:dyDescent="0.25">
      <c r="A53" s="27"/>
      <c r="B53" s="5"/>
      <c r="C53" s="5"/>
      <c r="D53" s="42" t="s">
        <v>696</v>
      </c>
      <c r="E53" s="42" t="s">
        <v>957</v>
      </c>
      <c r="F53" s="42" t="s">
        <v>821</v>
      </c>
      <c r="G53" s="42" t="s">
        <v>954</v>
      </c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</row>
    <row r="54" spans="1:18" s="1" customFormat="1" ht="28" x14ac:dyDescent="0.25">
      <c r="A54" s="27"/>
      <c r="B54" s="5"/>
      <c r="C54" s="5"/>
      <c r="D54" s="42" t="s">
        <v>959</v>
      </c>
      <c r="E54" s="42" t="s">
        <v>958</v>
      </c>
      <c r="F54" s="42" t="s">
        <v>821</v>
      </c>
      <c r="G54" s="42" t="s">
        <v>615</v>
      </c>
      <c r="H54" s="46">
        <v>1</v>
      </c>
      <c r="I54" s="5"/>
      <c r="J54" s="5"/>
      <c r="K54" s="5"/>
      <c r="L54" s="5"/>
      <c r="M54" s="5"/>
      <c r="N54" s="5"/>
      <c r="O54" s="5"/>
      <c r="P54" s="5"/>
      <c r="Q54" s="5"/>
      <c r="R54" s="5"/>
    </row>
    <row r="55" spans="1:18" s="1" customFormat="1" x14ac:dyDescent="0.25">
      <c r="A55" s="27"/>
      <c r="B55" s="5"/>
      <c r="C55" s="5"/>
      <c r="D55" s="42" t="s">
        <v>699</v>
      </c>
      <c r="E55" s="42" t="s">
        <v>9</v>
      </c>
      <c r="F55" s="42" t="s">
        <v>821</v>
      </c>
      <c r="G55" s="42" t="s">
        <v>697</v>
      </c>
      <c r="H55" s="42" t="s">
        <v>702</v>
      </c>
      <c r="I55" s="5"/>
      <c r="J55" s="5"/>
      <c r="K55" s="5"/>
      <c r="L55" s="5"/>
      <c r="M55" s="5"/>
      <c r="N55" s="5"/>
      <c r="O55" s="5"/>
      <c r="P55" s="5"/>
      <c r="Q55" s="5"/>
      <c r="R55" s="5"/>
    </row>
    <row r="56" spans="1:18" s="1" customFormat="1" x14ac:dyDescent="0.25">
      <c r="A56" s="27">
        <v>0</v>
      </c>
      <c r="B56" s="42" t="s">
        <v>952</v>
      </c>
      <c r="C56" s="42" t="s">
        <v>710</v>
      </c>
      <c r="D56" s="42" t="s">
        <v>562</v>
      </c>
      <c r="E56" s="42" t="s">
        <v>15</v>
      </c>
      <c r="F56" s="42" t="s">
        <v>564</v>
      </c>
      <c r="G56" s="42"/>
      <c r="H56" s="76" t="s">
        <v>949</v>
      </c>
      <c r="I56" s="5"/>
      <c r="J56" s="5"/>
      <c r="K56" s="5"/>
      <c r="L56" s="5"/>
      <c r="M56" s="5"/>
      <c r="N56" s="5"/>
      <c r="O56" s="5"/>
      <c r="P56" s="5"/>
      <c r="Q56" s="5"/>
      <c r="R56" s="5"/>
    </row>
    <row r="57" spans="1:18" s="1" customFormat="1" x14ac:dyDescent="0.25">
      <c r="A57" s="27"/>
      <c r="B57" s="5"/>
      <c r="C57" s="5"/>
      <c r="D57" s="42" t="s">
        <v>578</v>
      </c>
      <c r="E57" s="42" t="s">
        <v>568</v>
      </c>
      <c r="F57" s="42" t="s">
        <v>564</v>
      </c>
      <c r="G57" s="42" t="s">
        <v>577</v>
      </c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</row>
    <row r="58" spans="1:18" s="1" customFormat="1" ht="28" x14ac:dyDescent="0.25">
      <c r="A58" s="27"/>
      <c r="B58" s="5"/>
      <c r="C58" s="5"/>
      <c r="D58" s="42" t="s">
        <v>977</v>
      </c>
      <c r="E58" s="42" t="s">
        <v>976</v>
      </c>
      <c r="F58" s="42" t="s">
        <v>564</v>
      </c>
      <c r="G58" s="42" t="s">
        <v>579</v>
      </c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</row>
    <row r="59" spans="1:18" s="1" customFormat="1" x14ac:dyDescent="0.25">
      <c r="A59" s="27"/>
      <c r="B59" s="5"/>
      <c r="C59" s="5"/>
      <c r="D59" s="42" t="s">
        <v>580</v>
      </c>
      <c r="E59" s="42" t="s">
        <v>5</v>
      </c>
      <c r="F59" s="42" t="s">
        <v>564</v>
      </c>
      <c r="G59" s="42" t="s">
        <v>579</v>
      </c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</row>
    <row r="60" spans="1:18" s="1" customFormat="1" x14ac:dyDescent="0.25">
      <c r="A60" s="27"/>
      <c r="B60" s="5"/>
      <c r="C60" s="5"/>
      <c r="D60" s="42" t="s">
        <v>581</v>
      </c>
      <c r="E60" s="42" t="s">
        <v>4</v>
      </c>
      <c r="F60" s="42" t="s">
        <v>564</v>
      </c>
      <c r="G60" s="42" t="s">
        <v>582</v>
      </c>
      <c r="H60" s="42" t="s">
        <v>654</v>
      </c>
      <c r="I60" s="5"/>
      <c r="J60" s="5"/>
      <c r="K60" s="5"/>
      <c r="L60" s="5"/>
      <c r="M60" s="5"/>
      <c r="N60" s="5"/>
      <c r="O60" s="5"/>
      <c r="P60" s="5"/>
      <c r="Q60" s="5"/>
      <c r="R60" s="5"/>
    </row>
    <row r="61" spans="1:18" s="1" customFormat="1" x14ac:dyDescent="0.25">
      <c r="A61" s="27"/>
      <c r="B61" s="5"/>
      <c r="C61" s="5"/>
      <c r="D61" s="42" t="s">
        <v>583</v>
      </c>
      <c r="E61" s="42" t="s">
        <v>212</v>
      </c>
      <c r="F61" s="42" t="s">
        <v>564</v>
      </c>
      <c r="G61" s="42" t="s">
        <v>582</v>
      </c>
      <c r="H61" s="42" t="s">
        <v>213</v>
      </c>
      <c r="I61" s="5"/>
      <c r="J61" s="5"/>
      <c r="K61" s="5"/>
      <c r="L61" s="5"/>
      <c r="M61" s="5"/>
      <c r="N61" s="5"/>
      <c r="O61" s="5"/>
      <c r="P61" s="5"/>
      <c r="Q61" s="5"/>
      <c r="R61" s="5"/>
    </row>
    <row r="62" spans="1:18" s="1" customFormat="1" x14ac:dyDescent="0.25">
      <c r="A62" s="27"/>
      <c r="B62" s="5"/>
      <c r="C62" s="5"/>
      <c r="D62" s="42" t="s">
        <v>610</v>
      </c>
      <c r="E62" s="42" t="s">
        <v>5</v>
      </c>
      <c r="F62" s="42" t="s">
        <v>564</v>
      </c>
      <c r="G62" s="42" t="s">
        <v>585</v>
      </c>
      <c r="H62" s="42"/>
      <c r="I62" s="5"/>
      <c r="J62" s="5"/>
      <c r="K62" s="5"/>
      <c r="L62" s="5"/>
      <c r="M62" s="5"/>
      <c r="N62" s="5"/>
      <c r="O62" s="5"/>
      <c r="P62" s="5"/>
      <c r="Q62" s="5"/>
      <c r="R62" s="5"/>
    </row>
    <row r="63" spans="1:18" s="1" customFormat="1" x14ac:dyDescent="0.25">
      <c r="A63" s="27"/>
      <c r="B63" s="5"/>
      <c r="C63" s="5"/>
      <c r="D63" s="42" t="s">
        <v>563</v>
      </c>
      <c r="E63" s="42" t="s">
        <v>5</v>
      </c>
      <c r="F63" s="42" t="s">
        <v>564</v>
      </c>
      <c r="G63" s="42" t="s">
        <v>586</v>
      </c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</row>
    <row r="64" spans="1:18" s="1" customFormat="1" x14ac:dyDescent="0.25">
      <c r="A64" s="27"/>
      <c r="B64" s="5"/>
      <c r="C64" s="5"/>
      <c r="D64" s="42" t="s">
        <v>613</v>
      </c>
      <c r="E64" s="42" t="s">
        <v>211</v>
      </c>
      <c r="F64" s="42" t="s">
        <v>564</v>
      </c>
      <c r="G64" s="42" t="s">
        <v>611</v>
      </c>
      <c r="H64" s="42"/>
      <c r="I64" s="5"/>
      <c r="J64" s="5"/>
      <c r="K64" s="5"/>
      <c r="L64" s="5"/>
      <c r="M64" s="5"/>
      <c r="N64" s="5"/>
      <c r="O64" s="5"/>
      <c r="P64" s="5"/>
      <c r="Q64" s="5"/>
      <c r="R64" s="5"/>
    </row>
    <row r="65" spans="1:18" s="1" customFormat="1" x14ac:dyDescent="0.25">
      <c r="A65" s="27"/>
      <c r="B65" s="5"/>
      <c r="C65" s="5"/>
      <c r="D65" s="42" t="s">
        <v>614</v>
      </c>
      <c r="E65" s="42" t="s">
        <v>5</v>
      </c>
      <c r="F65" s="42" t="s">
        <v>564</v>
      </c>
      <c r="G65" s="42" t="s">
        <v>612</v>
      </c>
      <c r="H65" s="42"/>
      <c r="I65" s="5"/>
      <c r="J65" s="5"/>
      <c r="K65" s="5"/>
      <c r="L65" s="5"/>
      <c r="M65" s="5"/>
      <c r="N65" s="5"/>
      <c r="O65" s="5"/>
      <c r="P65" s="5"/>
      <c r="Q65" s="5"/>
      <c r="R65" s="5"/>
    </row>
    <row r="66" spans="1:18" s="1" customFormat="1" x14ac:dyDescent="0.25">
      <c r="A66" s="27"/>
      <c r="B66" s="5"/>
      <c r="C66" s="5"/>
      <c r="D66" s="42" t="s">
        <v>716</v>
      </c>
      <c r="E66" s="42" t="s">
        <v>5</v>
      </c>
      <c r="F66" s="42" t="s">
        <v>822</v>
      </c>
      <c r="G66" s="42" t="s">
        <v>967</v>
      </c>
      <c r="H66" s="42"/>
      <c r="I66" s="5"/>
      <c r="J66" s="5"/>
      <c r="K66" s="5"/>
      <c r="L66" s="5"/>
      <c r="M66" s="5"/>
      <c r="N66" s="5"/>
      <c r="O66" s="5"/>
      <c r="P66" s="5"/>
      <c r="Q66" s="5"/>
      <c r="R66" s="5"/>
    </row>
    <row r="67" spans="1:18" s="1" customFormat="1" x14ac:dyDescent="0.25">
      <c r="A67" s="27"/>
      <c r="B67" s="5"/>
      <c r="C67" s="5"/>
      <c r="D67" s="42" t="s">
        <v>717</v>
      </c>
      <c r="E67" s="42" t="s">
        <v>5</v>
      </c>
      <c r="F67" s="42" t="s">
        <v>821</v>
      </c>
      <c r="G67" s="42" t="s">
        <v>713</v>
      </c>
      <c r="H67" s="42"/>
      <c r="I67" s="5"/>
      <c r="J67" s="5"/>
      <c r="K67" s="5"/>
      <c r="L67" s="5"/>
      <c r="M67" s="5"/>
      <c r="N67" s="5"/>
      <c r="O67" s="5"/>
      <c r="P67" s="5"/>
      <c r="Q67" s="5"/>
      <c r="R67" s="5"/>
    </row>
    <row r="68" spans="1:18" s="1" customFormat="1" x14ac:dyDescent="0.25">
      <c r="A68" s="27"/>
      <c r="B68" s="5"/>
      <c r="C68" s="5"/>
      <c r="D68" s="42" t="s">
        <v>718</v>
      </c>
      <c r="E68" s="42" t="s">
        <v>4</v>
      </c>
      <c r="F68" s="42" t="s">
        <v>821</v>
      </c>
      <c r="G68" s="42" t="s">
        <v>725</v>
      </c>
      <c r="H68" s="42" t="s">
        <v>720</v>
      </c>
      <c r="I68" s="5"/>
      <c r="J68" s="5"/>
      <c r="K68" s="5"/>
      <c r="L68" s="5"/>
      <c r="M68" s="5"/>
      <c r="N68" s="5"/>
      <c r="O68" s="5"/>
      <c r="P68" s="5"/>
      <c r="Q68" s="5"/>
      <c r="R68" s="5"/>
    </row>
    <row r="69" spans="1:18" s="1" customFormat="1" x14ac:dyDescent="0.25">
      <c r="A69" s="27"/>
      <c r="B69" s="5"/>
      <c r="C69" s="5"/>
      <c r="D69" s="42" t="s">
        <v>719</v>
      </c>
      <c r="E69" s="42" t="s">
        <v>5</v>
      </c>
      <c r="F69" s="42" t="s">
        <v>821</v>
      </c>
      <c r="G69" s="42" t="s">
        <v>956</v>
      </c>
      <c r="H69" s="42"/>
      <c r="I69" s="5"/>
      <c r="J69" s="5"/>
      <c r="K69" s="5"/>
      <c r="L69" s="5"/>
      <c r="M69" s="5"/>
      <c r="N69" s="5"/>
      <c r="O69" s="5"/>
      <c r="P69" s="5"/>
      <c r="Q69" s="5"/>
      <c r="R69" s="5"/>
    </row>
    <row r="70" spans="1:18" s="1" customFormat="1" x14ac:dyDescent="0.25">
      <c r="A70" s="27">
        <v>0</v>
      </c>
      <c r="B70" s="42" t="s">
        <v>816</v>
      </c>
      <c r="C70" s="42" t="s">
        <v>721</v>
      </c>
      <c r="D70" s="42" t="s">
        <v>562</v>
      </c>
      <c r="E70" s="42" t="s">
        <v>15</v>
      </c>
      <c r="F70" s="42" t="s">
        <v>564</v>
      </c>
      <c r="G70" s="42"/>
      <c r="H70" s="76" t="s">
        <v>949</v>
      </c>
      <c r="I70" s="5"/>
      <c r="J70" s="5"/>
      <c r="K70" s="5"/>
      <c r="L70" s="5"/>
      <c r="M70" s="5"/>
      <c r="N70" s="5"/>
      <c r="O70" s="5"/>
      <c r="P70" s="5"/>
      <c r="Q70" s="5"/>
      <c r="R70" s="5"/>
    </row>
    <row r="71" spans="1:18" s="1" customFormat="1" x14ac:dyDescent="0.25">
      <c r="A71" s="27"/>
      <c r="B71" s="5"/>
      <c r="C71" s="5"/>
      <c r="D71" s="42" t="s">
        <v>578</v>
      </c>
      <c r="E71" s="42" t="s">
        <v>568</v>
      </c>
      <c r="F71" s="42" t="s">
        <v>564</v>
      </c>
      <c r="G71" s="42" t="s">
        <v>577</v>
      </c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</row>
    <row r="72" spans="1:18" s="1" customFormat="1" ht="28" x14ac:dyDescent="0.25">
      <c r="A72" s="27"/>
      <c r="B72" s="5"/>
      <c r="C72" s="5"/>
      <c r="D72" s="42" t="s">
        <v>977</v>
      </c>
      <c r="E72" s="42" t="s">
        <v>976</v>
      </c>
      <c r="F72" s="42" t="s">
        <v>564</v>
      </c>
      <c r="G72" s="42" t="s">
        <v>579</v>
      </c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</row>
    <row r="73" spans="1:18" s="1" customFormat="1" x14ac:dyDescent="0.25">
      <c r="A73" s="27"/>
      <c r="B73" s="5"/>
      <c r="C73" s="5"/>
      <c r="D73" s="42" t="s">
        <v>580</v>
      </c>
      <c r="E73" s="42" t="s">
        <v>5</v>
      </c>
      <c r="F73" s="42" t="s">
        <v>564</v>
      </c>
      <c r="G73" s="42" t="s">
        <v>579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</row>
    <row r="74" spans="1:18" s="1" customFormat="1" x14ac:dyDescent="0.25">
      <c r="A74" s="27"/>
      <c r="B74" s="5"/>
      <c r="C74" s="5"/>
      <c r="D74" s="42" t="s">
        <v>581</v>
      </c>
      <c r="E74" s="42" t="s">
        <v>4</v>
      </c>
      <c r="F74" s="42" t="s">
        <v>564</v>
      </c>
      <c r="G74" s="42" t="s">
        <v>582</v>
      </c>
      <c r="H74" s="42" t="s">
        <v>694</v>
      </c>
      <c r="I74" s="5"/>
      <c r="J74" s="5"/>
      <c r="K74" s="5"/>
      <c r="L74" s="5"/>
      <c r="M74" s="5"/>
      <c r="N74" s="5"/>
      <c r="O74" s="5"/>
      <c r="P74" s="5"/>
      <c r="Q74" s="5"/>
      <c r="R74" s="5"/>
    </row>
    <row r="75" spans="1:18" s="1" customFormat="1" x14ac:dyDescent="0.25">
      <c r="A75" s="27"/>
      <c r="B75" s="5"/>
      <c r="C75" s="5"/>
      <c r="D75" s="42" t="s">
        <v>583</v>
      </c>
      <c r="E75" s="42" t="s">
        <v>212</v>
      </c>
      <c r="F75" s="42" t="s">
        <v>564</v>
      </c>
      <c r="G75" s="42" t="s">
        <v>582</v>
      </c>
      <c r="H75" s="42" t="s">
        <v>213</v>
      </c>
      <c r="I75" s="5"/>
      <c r="J75" s="5"/>
      <c r="K75" s="5"/>
      <c r="L75" s="5"/>
      <c r="M75" s="5"/>
      <c r="N75" s="5"/>
      <c r="O75" s="5"/>
      <c r="P75" s="5"/>
      <c r="Q75" s="5"/>
      <c r="R75" s="5"/>
    </row>
    <row r="76" spans="1:18" s="30" customFormat="1" x14ac:dyDescent="0.25">
      <c r="A76" s="27"/>
      <c r="B76" s="5"/>
      <c r="C76" s="5"/>
      <c r="D76" s="42" t="s">
        <v>610</v>
      </c>
      <c r="E76" s="42" t="s">
        <v>5</v>
      </c>
      <c r="F76" s="42" t="s">
        <v>564</v>
      </c>
      <c r="G76" s="42" t="s">
        <v>585</v>
      </c>
      <c r="H76" s="42"/>
      <c r="I76" s="29"/>
      <c r="J76" s="29"/>
      <c r="K76" s="29"/>
      <c r="L76" s="29"/>
      <c r="M76" s="29"/>
      <c r="N76" s="29"/>
      <c r="O76" s="29"/>
      <c r="P76" s="29"/>
      <c r="Q76" s="29"/>
      <c r="R76" s="29"/>
    </row>
    <row r="77" spans="1:18" s="30" customFormat="1" x14ac:dyDescent="0.25">
      <c r="A77" s="27"/>
      <c r="B77" s="5"/>
      <c r="C77" s="5"/>
      <c r="D77" s="42" t="s">
        <v>563</v>
      </c>
      <c r="E77" s="42" t="s">
        <v>5</v>
      </c>
      <c r="F77" s="42" t="s">
        <v>564</v>
      </c>
      <c r="G77" s="42" t="s">
        <v>586</v>
      </c>
      <c r="H77" s="5"/>
      <c r="I77" s="29"/>
      <c r="J77" s="29"/>
      <c r="K77" s="29"/>
      <c r="L77" s="29"/>
      <c r="M77" s="29"/>
      <c r="N77" s="29"/>
      <c r="O77" s="29"/>
      <c r="P77" s="29"/>
      <c r="Q77" s="29"/>
      <c r="R77" s="29"/>
    </row>
    <row r="78" spans="1:18" s="30" customFormat="1" x14ac:dyDescent="0.25">
      <c r="A78" s="27"/>
      <c r="B78" s="5"/>
      <c r="C78" s="5"/>
      <c r="D78" s="42" t="s">
        <v>613</v>
      </c>
      <c r="E78" s="42" t="s">
        <v>211</v>
      </c>
      <c r="F78" s="42" t="s">
        <v>564</v>
      </c>
      <c r="G78" s="42" t="s">
        <v>611</v>
      </c>
      <c r="H78" s="42"/>
      <c r="I78" s="29"/>
      <c r="J78" s="29"/>
      <c r="K78" s="29"/>
      <c r="L78" s="29"/>
      <c r="M78" s="29"/>
      <c r="N78" s="29"/>
      <c r="O78" s="29"/>
      <c r="P78" s="29"/>
      <c r="Q78" s="29"/>
      <c r="R78" s="29"/>
    </row>
    <row r="79" spans="1:18" s="30" customFormat="1" x14ac:dyDescent="0.25">
      <c r="A79" s="27"/>
      <c r="B79" s="5"/>
      <c r="C79" s="5"/>
      <c r="D79" s="42" t="s">
        <v>614</v>
      </c>
      <c r="E79" s="42" t="s">
        <v>5</v>
      </c>
      <c r="F79" s="42" t="s">
        <v>564</v>
      </c>
      <c r="G79" s="42" t="s">
        <v>612</v>
      </c>
      <c r="H79" s="42"/>
      <c r="I79" s="29"/>
      <c r="J79" s="29"/>
      <c r="K79" s="29"/>
      <c r="L79" s="29"/>
      <c r="M79" s="29"/>
      <c r="N79" s="29"/>
      <c r="O79" s="29"/>
      <c r="P79" s="29"/>
      <c r="Q79" s="29"/>
      <c r="R79" s="29"/>
    </row>
    <row r="80" spans="1:18" s="30" customFormat="1" x14ac:dyDescent="0.25">
      <c r="A80" s="27"/>
      <c r="B80" s="5"/>
      <c r="C80" s="5"/>
      <c r="D80" s="42" t="s">
        <v>716</v>
      </c>
      <c r="E80" s="42" t="s">
        <v>5</v>
      </c>
      <c r="F80" s="42" t="s">
        <v>822</v>
      </c>
      <c r="G80" s="42" t="s">
        <v>967</v>
      </c>
      <c r="H80" s="42"/>
      <c r="I80" s="29"/>
      <c r="J80" s="29"/>
      <c r="K80" s="29"/>
      <c r="L80" s="29"/>
      <c r="M80" s="29"/>
      <c r="N80" s="29"/>
      <c r="O80" s="29"/>
      <c r="P80" s="29"/>
      <c r="Q80" s="29"/>
      <c r="R80" s="29"/>
    </row>
    <row r="81" spans="1:18" s="30" customFormat="1" x14ac:dyDescent="0.25">
      <c r="A81" s="27"/>
      <c r="B81" s="5"/>
      <c r="C81" s="5"/>
      <c r="D81" s="42" t="s">
        <v>722</v>
      </c>
      <c r="E81" s="42" t="s">
        <v>5</v>
      </c>
      <c r="F81" s="42" t="s">
        <v>821</v>
      </c>
      <c r="G81" s="42" t="s">
        <v>713</v>
      </c>
      <c r="H81" s="42"/>
      <c r="I81" s="29"/>
      <c r="J81" s="29"/>
      <c r="K81" s="29"/>
      <c r="L81" s="29"/>
      <c r="M81" s="29"/>
      <c r="N81" s="29"/>
      <c r="O81" s="29"/>
      <c r="P81" s="29"/>
      <c r="Q81" s="29"/>
      <c r="R81" s="29"/>
    </row>
    <row r="82" spans="1:18" s="30" customFormat="1" x14ac:dyDescent="0.25">
      <c r="A82" s="27"/>
      <c r="B82" s="5"/>
      <c r="C82" s="5"/>
      <c r="D82" s="42" t="s">
        <v>723</v>
      </c>
      <c r="E82" s="42" t="s">
        <v>4</v>
      </c>
      <c r="F82" s="42" t="s">
        <v>821</v>
      </c>
      <c r="G82" s="42" t="s">
        <v>725</v>
      </c>
      <c r="H82" s="42" t="s">
        <v>720</v>
      </c>
      <c r="I82" s="29"/>
      <c r="J82" s="29"/>
      <c r="K82" s="29"/>
      <c r="L82" s="29"/>
      <c r="M82" s="29"/>
      <c r="N82" s="29"/>
      <c r="O82" s="29"/>
      <c r="P82" s="29"/>
      <c r="Q82" s="29"/>
      <c r="R82" s="29"/>
    </row>
    <row r="83" spans="1:18" s="1" customFormat="1" x14ac:dyDescent="0.25">
      <c r="A83" s="27"/>
      <c r="B83" s="5"/>
      <c r="C83" s="5"/>
      <c r="D83" s="42" t="s">
        <v>724</v>
      </c>
      <c r="E83" s="42" t="s">
        <v>5</v>
      </c>
      <c r="F83" s="42" t="s">
        <v>821</v>
      </c>
      <c r="G83" s="42" t="s">
        <v>956</v>
      </c>
      <c r="H83" s="42"/>
      <c r="I83" s="5"/>
      <c r="J83" s="5"/>
      <c r="K83" s="5"/>
      <c r="L83" s="5"/>
      <c r="M83" s="5"/>
      <c r="N83" s="5"/>
      <c r="O83" s="5"/>
      <c r="P83" s="5"/>
      <c r="Q83" s="5"/>
      <c r="R83" s="5"/>
    </row>
    <row r="84" spans="1:18" s="1" customFormat="1" ht="28" x14ac:dyDescent="0.25">
      <c r="A84" s="27">
        <v>0</v>
      </c>
      <c r="B84" s="42" t="s">
        <v>964</v>
      </c>
      <c r="C84" s="42" t="s">
        <v>918</v>
      </c>
      <c r="D84" s="42" t="s">
        <v>562</v>
      </c>
      <c r="E84" s="42" t="s">
        <v>15</v>
      </c>
      <c r="F84" s="42" t="s">
        <v>564</v>
      </c>
      <c r="G84" s="42"/>
      <c r="H84" s="76" t="s">
        <v>949</v>
      </c>
      <c r="I84" s="5"/>
      <c r="J84" s="5"/>
      <c r="K84" s="5"/>
      <c r="L84" s="5"/>
      <c r="M84" s="5"/>
      <c r="N84" s="5"/>
      <c r="O84" s="5"/>
      <c r="P84" s="5"/>
      <c r="Q84" s="5"/>
      <c r="R84" s="5"/>
    </row>
    <row r="85" spans="1:18" s="1" customFormat="1" x14ac:dyDescent="0.25">
      <c r="A85" s="27"/>
      <c r="B85" s="5"/>
      <c r="C85" s="5"/>
      <c r="D85" s="42" t="s">
        <v>578</v>
      </c>
      <c r="E85" s="42" t="s">
        <v>568</v>
      </c>
      <c r="F85" s="42" t="s">
        <v>564</v>
      </c>
      <c r="G85" s="42" t="s">
        <v>577</v>
      </c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</row>
    <row r="86" spans="1:18" s="1" customFormat="1" x14ac:dyDescent="0.25">
      <c r="A86" s="27"/>
      <c r="B86" s="5"/>
      <c r="C86" s="5"/>
      <c r="D86" s="42" t="s">
        <v>580</v>
      </c>
      <c r="E86" s="42" t="s">
        <v>5</v>
      </c>
      <c r="F86" s="42" t="s">
        <v>564</v>
      </c>
      <c r="G86" s="42" t="s">
        <v>579</v>
      </c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</row>
    <row r="87" spans="1:18" s="1" customFormat="1" x14ac:dyDescent="0.25">
      <c r="A87" s="27"/>
      <c r="B87" s="5"/>
      <c r="C87" s="5"/>
      <c r="D87" s="42" t="s">
        <v>581</v>
      </c>
      <c r="E87" s="42" t="s">
        <v>4</v>
      </c>
      <c r="F87" s="42" t="s">
        <v>564</v>
      </c>
      <c r="G87" s="42" t="s">
        <v>582</v>
      </c>
      <c r="H87" s="42" t="s">
        <v>609</v>
      </c>
      <c r="I87" s="5"/>
      <c r="J87" s="5"/>
      <c r="K87" s="5"/>
      <c r="L87" s="5"/>
      <c r="M87" s="5"/>
      <c r="N87" s="5"/>
      <c r="O87" s="5"/>
      <c r="P87" s="5"/>
      <c r="Q87" s="5"/>
      <c r="R87" s="5"/>
    </row>
    <row r="88" spans="1:18" s="1" customFormat="1" x14ac:dyDescent="0.25">
      <c r="A88" s="27"/>
      <c r="B88" s="5"/>
      <c r="C88" s="5"/>
      <c r="D88" s="42" t="s">
        <v>583</v>
      </c>
      <c r="E88" s="42" t="s">
        <v>212</v>
      </c>
      <c r="F88" s="42" t="s">
        <v>564</v>
      </c>
      <c r="G88" s="42" t="s">
        <v>582</v>
      </c>
      <c r="H88" s="42" t="s">
        <v>213</v>
      </c>
      <c r="I88" s="5"/>
      <c r="J88" s="5"/>
      <c r="K88" s="5"/>
      <c r="L88" s="5"/>
      <c r="M88" s="5"/>
      <c r="N88" s="5"/>
      <c r="O88" s="5"/>
      <c r="P88" s="5"/>
      <c r="Q88" s="5"/>
      <c r="R88" s="5"/>
    </row>
    <row r="89" spans="1:18" s="1" customFormat="1" x14ac:dyDescent="0.25">
      <c r="A89" s="27"/>
      <c r="B89" s="5"/>
      <c r="C89" s="5"/>
      <c r="D89" s="42" t="s">
        <v>610</v>
      </c>
      <c r="E89" s="42" t="s">
        <v>5</v>
      </c>
      <c r="F89" s="42" t="s">
        <v>564</v>
      </c>
      <c r="G89" s="42" t="s">
        <v>585</v>
      </c>
      <c r="H89" s="42"/>
      <c r="I89" s="5"/>
      <c r="J89" s="5"/>
      <c r="K89" s="5"/>
      <c r="L89" s="5"/>
      <c r="M89" s="5"/>
      <c r="N89" s="5"/>
      <c r="O89" s="5"/>
      <c r="P89" s="5"/>
      <c r="Q89" s="5"/>
      <c r="R89" s="5"/>
    </row>
    <row r="90" spans="1:18" s="1" customFormat="1" x14ac:dyDescent="0.25">
      <c r="A90" s="27"/>
      <c r="B90" s="5"/>
      <c r="C90" s="5"/>
      <c r="D90" s="42" t="s">
        <v>563</v>
      </c>
      <c r="E90" s="42" t="s">
        <v>5</v>
      </c>
      <c r="F90" s="42" t="s">
        <v>564</v>
      </c>
      <c r="G90" s="42" t="s">
        <v>586</v>
      </c>
      <c r="I90" s="5"/>
      <c r="J90" s="5"/>
      <c r="K90" s="5"/>
      <c r="L90" s="5"/>
      <c r="M90" s="5"/>
      <c r="N90" s="5"/>
      <c r="O90" s="5"/>
      <c r="P90" s="5"/>
      <c r="Q90" s="5"/>
      <c r="R90" s="5"/>
    </row>
    <row r="91" spans="1:18" s="1" customFormat="1" x14ac:dyDescent="0.25">
      <c r="A91" s="27"/>
      <c r="B91" s="5"/>
      <c r="C91" s="5"/>
      <c r="D91" s="42" t="s">
        <v>613</v>
      </c>
      <c r="E91" s="42" t="s">
        <v>211</v>
      </c>
      <c r="F91" s="42" t="s">
        <v>564</v>
      </c>
      <c r="G91" s="42" t="s">
        <v>611</v>
      </c>
      <c r="H91" s="42"/>
      <c r="I91" s="5"/>
      <c r="J91" s="5"/>
      <c r="K91" s="5"/>
      <c r="L91" s="5"/>
      <c r="M91" s="5"/>
      <c r="N91" s="5"/>
      <c r="O91" s="5"/>
      <c r="P91" s="5"/>
      <c r="Q91" s="5"/>
      <c r="R91" s="5"/>
    </row>
    <row r="92" spans="1:18" s="1" customFormat="1" x14ac:dyDescent="0.25">
      <c r="A92" s="27"/>
      <c r="B92" s="5"/>
      <c r="C92" s="5"/>
      <c r="D92" s="42" t="s">
        <v>825</v>
      </c>
      <c r="E92" s="42" t="s">
        <v>5</v>
      </c>
      <c r="F92" s="42" t="s">
        <v>564</v>
      </c>
      <c r="G92" s="42" t="s">
        <v>818</v>
      </c>
      <c r="H92" s="42"/>
      <c r="I92" s="5"/>
      <c r="J92" s="5"/>
      <c r="K92" s="5"/>
      <c r="L92" s="5"/>
      <c r="M92" s="5"/>
      <c r="N92" s="5"/>
      <c r="O92" s="5"/>
      <c r="P92" s="5"/>
      <c r="Q92" s="5"/>
      <c r="R92" s="5"/>
    </row>
    <row r="93" spans="1:18" s="1" customFormat="1" x14ac:dyDescent="0.25">
      <c r="A93" s="27"/>
      <c r="B93" s="5"/>
      <c r="C93" s="5"/>
      <c r="D93" s="42" t="s">
        <v>826</v>
      </c>
      <c r="E93" s="42" t="s">
        <v>4</v>
      </c>
      <c r="F93" s="42" t="s">
        <v>822</v>
      </c>
      <c r="G93" s="42" t="s">
        <v>824</v>
      </c>
      <c r="H93" s="42" t="s">
        <v>702</v>
      </c>
      <c r="I93" s="5"/>
      <c r="J93" s="5"/>
      <c r="K93" s="5"/>
      <c r="L93" s="5"/>
      <c r="M93" s="5"/>
      <c r="N93" s="5"/>
      <c r="O93" s="5"/>
      <c r="P93" s="5"/>
      <c r="Q93" s="5"/>
      <c r="R93" s="5"/>
    </row>
    <row r="94" spans="1:18" s="1" customFormat="1" x14ac:dyDescent="0.25">
      <c r="A94" s="27"/>
      <c r="B94" s="5"/>
      <c r="C94" s="5"/>
      <c r="D94" s="42" t="s">
        <v>583</v>
      </c>
      <c r="E94" s="42" t="s">
        <v>212</v>
      </c>
      <c r="F94" s="42" t="s">
        <v>822</v>
      </c>
      <c r="G94" s="42" t="s">
        <v>824</v>
      </c>
      <c r="H94" s="42" t="s">
        <v>213</v>
      </c>
      <c r="I94" s="5"/>
      <c r="J94" s="5"/>
      <c r="K94" s="5"/>
      <c r="L94" s="5"/>
      <c r="M94" s="5"/>
      <c r="N94" s="5"/>
      <c r="O94" s="5"/>
      <c r="P94" s="5"/>
      <c r="Q94" s="5"/>
      <c r="R94" s="5"/>
    </row>
    <row r="95" spans="1:18" s="1" customFormat="1" x14ac:dyDescent="0.25">
      <c r="A95" s="27"/>
      <c r="B95" s="5"/>
      <c r="C95" s="5"/>
      <c r="D95" s="42" t="s">
        <v>966</v>
      </c>
      <c r="E95" s="42" t="s">
        <v>5</v>
      </c>
      <c r="F95" s="42" t="s">
        <v>822</v>
      </c>
      <c r="G95" s="42" t="s">
        <v>967</v>
      </c>
      <c r="H95" s="42"/>
      <c r="I95" s="5"/>
      <c r="J95" s="5"/>
      <c r="K95" s="5"/>
      <c r="L95" s="5"/>
      <c r="M95" s="5"/>
      <c r="N95" s="5"/>
      <c r="O95" s="5"/>
      <c r="P95" s="5"/>
      <c r="Q95" s="5"/>
      <c r="R95" s="5"/>
    </row>
    <row r="96" spans="1:18" s="1" customFormat="1" x14ac:dyDescent="0.25">
      <c r="A96" s="27"/>
      <c r="B96" s="5"/>
      <c r="C96" s="5"/>
      <c r="D96" s="42" t="s">
        <v>829</v>
      </c>
      <c r="E96" s="42" t="s">
        <v>5</v>
      </c>
      <c r="F96" s="42" t="s">
        <v>822</v>
      </c>
      <c r="G96" s="42" t="s">
        <v>828</v>
      </c>
      <c r="H96" s="42"/>
      <c r="I96" s="5"/>
      <c r="J96" s="5"/>
      <c r="K96" s="5"/>
      <c r="L96" s="5"/>
      <c r="M96" s="5"/>
      <c r="N96" s="5"/>
      <c r="O96" s="5"/>
      <c r="P96" s="5"/>
      <c r="Q96" s="5"/>
      <c r="R96" s="5"/>
    </row>
    <row r="97" spans="1:18" s="1" customFormat="1" ht="28" x14ac:dyDescent="0.25">
      <c r="A97" s="27"/>
      <c r="B97" s="5"/>
      <c r="C97" s="5"/>
      <c r="D97" s="42" t="s">
        <v>871</v>
      </c>
      <c r="E97" s="42" t="s">
        <v>984</v>
      </c>
      <c r="F97" s="42" t="s">
        <v>822</v>
      </c>
      <c r="G97" s="42" t="s">
        <v>831</v>
      </c>
      <c r="H97" s="42" t="s">
        <v>990</v>
      </c>
      <c r="I97" s="5"/>
      <c r="J97" s="5"/>
      <c r="K97" s="5"/>
      <c r="L97" s="5"/>
      <c r="M97" s="5"/>
      <c r="N97" s="5"/>
      <c r="O97" s="5"/>
      <c r="P97" s="5"/>
      <c r="Q97" s="5"/>
      <c r="R97" s="5"/>
    </row>
    <row r="98" spans="1:18" s="1" customFormat="1" ht="28" x14ac:dyDescent="0.25">
      <c r="A98" s="27"/>
      <c r="B98" s="5"/>
      <c r="C98" s="5"/>
      <c r="D98" s="42" t="s">
        <v>991</v>
      </c>
      <c r="E98" s="42" t="s">
        <v>984</v>
      </c>
      <c r="F98" s="42" t="s">
        <v>822</v>
      </c>
      <c r="G98" s="42" t="s">
        <v>830</v>
      </c>
      <c r="H98" s="42" t="s">
        <v>992</v>
      </c>
      <c r="I98" s="5"/>
      <c r="J98" s="5"/>
      <c r="K98" s="5"/>
      <c r="L98" s="5"/>
      <c r="M98" s="5"/>
      <c r="N98" s="5"/>
      <c r="O98" s="5"/>
      <c r="P98" s="5"/>
      <c r="Q98" s="5"/>
      <c r="R98" s="5"/>
    </row>
    <row r="99" spans="1:18" s="1" customFormat="1" ht="42" x14ac:dyDescent="0.25">
      <c r="A99" s="27"/>
      <c r="B99" s="5"/>
      <c r="C99" s="5"/>
      <c r="D99" s="42" t="s">
        <v>872</v>
      </c>
      <c r="E99" s="42" t="s">
        <v>984</v>
      </c>
      <c r="F99" s="42" t="s">
        <v>822</v>
      </c>
      <c r="G99" s="42" t="s">
        <v>832</v>
      </c>
      <c r="H99" s="42" t="s">
        <v>992</v>
      </c>
      <c r="I99" s="5"/>
      <c r="J99" s="5"/>
      <c r="K99" s="5"/>
      <c r="L99" s="5"/>
      <c r="M99" s="5"/>
      <c r="N99" s="5"/>
      <c r="O99" s="5"/>
      <c r="P99" s="5"/>
      <c r="Q99" s="5"/>
      <c r="R99" s="5"/>
    </row>
    <row r="100" spans="1:18" s="1" customFormat="1" ht="28" x14ac:dyDescent="0.25">
      <c r="A100" s="27">
        <v>1</v>
      </c>
      <c r="B100" s="42" t="s">
        <v>965</v>
      </c>
      <c r="C100" s="42" t="s">
        <v>817</v>
      </c>
      <c r="D100" s="42" t="s">
        <v>562</v>
      </c>
      <c r="E100" s="42" t="s">
        <v>15</v>
      </c>
      <c r="F100" s="42" t="s">
        <v>564</v>
      </c>
      <c r="G100" s="42"/>
      <c r="H100" s="76" t="s">
        <v>949</v>
      </c>
      <c r="I100" s="5"/>
      <c r="J100" s="5"/>
      <c r="K100" s="5"/>
      <c r="L100" s="5"/>
      <c r="M100" s="5"/>
      <c r="N100" s="5"/>
      <c r="O100" s="5"/>
      <c r="P100" s="5"/>
      <c r="Q100" s="5"/>
      <c r="R100" s="5"/>
    </row>
    <row r="101" spans="1:18" s="1" customFormat="1" x14ac:dyDescent="0.35">
      <c r="A101" s="27"/>
      <c r="B101" s="42"/>
      <c r="C101" s="42"/>
      <c r="D101" s="42" t="s">
        <v>968</v>
      </c>
      <c r="E101" s="99" t="s">
        <v>837</v>
      </c>
      <c r="F101" s="42" t="s">
        <v>564</v>
      </c>
      <c r="G101" s="42" t="s">
        <v>611</v>
      </c>
      <c r="H101" s="76">
        <v>1</v>
      </c>
      <c r="I101" s="5"/>
      <c r="J101" s="5"/>
      <c r="K101" s="5"/>
      <c r="L101" s="5"/>
      <c r="M101" s="5"/>
      <c r="N101" s="5"/>
      <c r="O101" s="5"/>
      <c r="P101" s="5"/>
      <c r="Q101" s="5"/>
      <c r="R101" s="5"/>
    </row>
    <row r="102" spans="1:18" s="1" customFormat="1" x14ac:dyDescent="0.25">
      <c r="A102" s="27"/>
      <c r="B102" s="5"/>
      <c r="C102" s="5"/>
      <c r="D102" s="42" t="s">
        <v>613</v>
      </c>
      <c r="E102" s="42" t="s">
        <v>211</v>
      </c>
      <c r="F102" s="42" t="s">
        <v>564</v>
      </c>
      <c r="G102" s="42" t="s">
        <v>611</v>
      </c>
      <c r="H102" s="42"/>
      <c r="I102" s="5"/>
      <c r="J102" s="5"/>
      <c r="K102" s="5"/>
      <c r="L102" s="5"/>
      <c r="M102" s="5"/>
      <c r="N102" s="5"/>
      <c r="O102" s="5"/>
      <c r="P102" s="5"/>
      <c r="Q102" s="5"/>
      <c r="R102" s="5"/>
    </row>
    <row r="103" spans="1:18" s="1" customFormat="1" x14ac:dyDescent="0.25">
      <c r="A103" s="27"/>
      <c r="B103" s="5"/>
      <c r="C103" s="5"/>
      <c r="D103" s="42" t="s">
        <v>825</v>
      </c>
      <c r="E103" s="42" t="s">
        <v>5</v>
      </c>
      <c r="F103" s="42" t="s">
        <v>564</v>
      </c>
      <c r="G103" s="42" t="s">
        <v>818</v>
      </c>
      <c r="H103" s="42"/>
      <c r="I103" s="5"/>
      <c r="J103" s="5"/>
      <c r="K103" s="5"/>
      <c r="L103" s="5"/>
      <c r="M103" s="5"/>
      <c r="N103" s="5"/>
      <c r="O103" s="5"/>
      <c r="P103" s="5"/>
      <c r="Q103" s="5"/>
      <c r="R103" s="5"/>
    </row>
    <row r="104" spans="1:18" s="1" customFormat="1" x14ac:dyDescent="0.25">
      <c r="A104" s="27"/>
      <c r="B104" s="5"/>
      <c r="C104" s="5"/>
      <c r="D104" s="42" t="s">
        <v>826</v>
      </c>
      <c r="E104" s="42" t="s">
        <v>4</v>
      </c>
      <c r="F104" s="42" t="s">
        <v>822</v>
      </c>
      <c r="G104" s="42" t="s">
        <v>824</v>
      </c>
      <c r="H104" s="42" t="s">
        <v>702</v>
      </c>
      <c r="I104" s="5"/>
      <c r="J104" s="5"/>
      <c r="K104" s="5"/>
      <c r="L104" s="5"/>
      <c r="M104" s="5"/>
      <c r="N104" s="5"/>
      <c r="O104" s="5"/>
      <c r="P104" s="5"/>
      <c r="Q104" s="5"/>
      <c r="R104" s="5"/>
    </row>
    <row r="105" spans="1:18" s="1" customFormat="1" x14ac:dyDescent="0.25">
      <c r="A105" s="27"/>
      <c r="B105" s="5"/>
      <c r="C105" s="5"/>
      <c r="D105" s="42" t="s">
        <v>583</v>
      </c>
      <c r="E105" s="42" t="s">
        <v>212</v>
      </c>
      <c r="F105" s="42" t="s">
        <v>822</v>
      </c>
      <c r="G105" s="42" t="s">
        <v>824</v>
      </c>
      <c r="H105" s="42" t="s">
        <v>213</v>
      </c>
      <c r="I105" s="5"/>
      <c r="J105" s="5"/>
      <c r="K105" s="5"/>
      <c r="L105" s="5"/>
      <c r="M105" s="5"/>
      <c r="N105" s="5"/>
      <c r="O105" s="5"/>
      <c r="P105" s="5"/>
      <c r="Q105" s="5"/>
      <c r="R105" s="5"/>
    </row>
    <row r="106" spans="1:18" s="1" customFormat="1" x14ac:dyDescent="0.25">
      <c r="A106" s="27"/>
      <c r="B106" s="5"/>
      <c r="C106" s="5"/>
      <c r="D106" s="42" t="s">
        <v>966</v>
      </c>
      <c r="E106" s="42" t="s">
        <v>5</v>
      </c>
      <c r="F106" s="42" t="s">
        <v>822</v>
      </c>
      <c r="G106" s="42" t="s">
        <v>967</v>
      </c>
      <c r="H106" s="42"/>
      <c r="I106" s="5"/>
      <c r="J106" s="5"/>
      <c r="K106" s="5"/>
      <c r="L106" s="5"/>
      <c r="M106" s="5"/>
      <c r="N106" s="5"/>
      <c r="O106" s="5"/>
      <c r="P106" s="5"/>
      <c r="Q106" s="5"/>
      <c r="R106" s="5"/>
    </row>
    <row r="107" spans="1:18" s="1" customFormat="1" x14ac:dyDescent="0.25">
      <c r="A107" s="27"/>
      <c r="B107" s="5"/>
      <c r="C107" s="5"/>
      <c r="D107" s="42" t="s">
        <v>829</v>
      </c>
      <c r="E107" s="42" t="s">
        <v>5</v>
      </c>
      <c r="F107" s="42" t="s">
        <v>822</v>
      </c>
      <c r="G107" s="42" t="s">
        <v>828</v>
      </c>
      <c r="H107" s="42"/>
      <c r="I107" s="5"/>
      <c r="J107" s="5"/>
      <c r="K107" s="5"/>
      <c r="L107" s="5"/>
      <c r="M107" s="5"/>
      <c r="N107" s="5"/>
      <c r="O107" s="5"/>
      <c r="P107" s="5"/>
      <c r="Q107" s="5"/>
      <c r="R107" s="5"/>
    </row>
    <row r="108" spans="1:18" s="1" customFormat="1" ht="28" x14ac:dyDescent="0.25">
      <c r="A108" s="27"/>
      <c r="B108" s="5"/>
      <c r="C108" s="5"/>
      <c r="D108" s="42" t="s">
        <v>871</v>
      </c>
      <c r="E108" s="42" t="s">
        <v>984</v>
      </c>
      <c r="F108" s="42" t="s">
        <v>822</v>
      </c>
      <c r="G108" s="42" t="s">
        <v>831</v>
      </c>
      <c r="H108" s="42" t="s">
        <v>990</v>
      </c>
      <c r="I108" s="5"/>
      <c r="J108" s="5"/>
      <c r="K108" s="5"/>
      <c r="L108" s="5"/>
      <c r="M108" s="5"/>
      <c r="N108" s="5"/>
      <c r="O108" s="5"/>
      <c r="P108" s="5"/>
      <c r="Q108" s="5"/>
      <c r="R108" s="5"/>
    </row>
    <row r="109" spans="1:18" s="1" customFormat="1" ht="28" x14ac:dyDescent="0.25">
      <c r="A109" s="27"/>
      <c r="B109" s="5"/>
      <c r="C109" s="5"/>
      <c r="D109" s="42" t="s">
        <v>991</v>
      </c>
      <c r="E109" s="42" t="s">
        <v>984</v>
      </c>
      <c r="F109" s="42" t="s">
        <v>822</v>
      </c>
      <c r="G109" s="42" t="s">
        <v>830</v>
      </c>
      <c r="H109" s="42" t="s">
        <v>990</v>
      </c>
      <c r="I109" s="5"/>
      <c r="J109" s="5"/>
      <c r="K109" s="5"/>
      <c r="L109" s="5"/>
      <c r="M109" s="5"/>
      <c r="N109" s="5"/>
      <c r="O109" s="5"/>
      <c r="P109" s="5"/>
      <c r="Q109" s="5"/>
      <c r="R109" s="5"/>
    </row>
    <row r="110" spans="1:18" s="1" customFormat="1" ht="42" x14ac:dyDescent="0.25">
      <c r="A110" s="27"/>
      <c r="B110" s="5"/>
      <c r="C110" s="5"/>
      <c r="D110" s="42" t="s">
        <v>872</v>
      </c>
      <c r="E110" s="42" t="s">
        <v>984</v>
      </c>
      <c r="F110" s="42" t="s">
        <v>822</v>
      </c>
      <c r="G110" s="42" t="s">
        <v>832</v>
      </c>
      <c r="H110" s="42" t="s">
        <v>990</v>
      </c>
      <c r="I110" s="5"/>
      <c r="J110" s="5"/>
      <c r="K110" s="5"/>
      <c r="L110" s="5"/>
      <c r="M110" s="5"/>
      <c r="N110" s="5"/>
      <c r="O110" s="5"/>
      <c r="P110" s="5"/>
      <c r="Q110" s="5"/>
      <c r="R110" s="5"/>
    </row>
    <row r="111" spans="1:18" s="1" customFormat="1" x14ac:dyDescent="0.25">
      <c r="A111" s="27">
        <v>0</v>
      </c>
      <c r="B111" s="42" t="s">
        <v>917</v>
      </c>
      <c r="C111" s="42" t="s">
        <v>873</v>
      </c>
      <c r="D111" s="42" t="s">
        <v>882</v>
      </c>
      <c r="E111" s="42" t="s">
        <v>5</v>
      </c>
      <c r="F111" s="42" t="s">
        <v>822</v>
      </c>
      <c r="G111" s="42" t="s">
        <v>875</v>
      </c>
      <c r="H111" s="42"/>
      <c r="I111" s="5"/>
      <c r="J111" s="5"/>
      <c r="K111" s="5"/>
      <c r="L111" s="5"/>
      <c r="M111" s="5"/>
      <c r="N111" s="5"/>
      <c r="O111" s="5"/>
      <c r="P111" s="5"/>
      <c r="Q111" s="5"/>
      <c r="R111" s="5"/>
    </row>
    <row r="112" spans="1:18" s="1" customFormat="1" ht="28" x14ac:dyDescent="0.25">
      <c r="A112" s="27"/>
      <c r="B112" s="5"/>
      <c r="C112" s="5"/>
      <c r="D112" s="42" t="s">
        <v>883</v>
      </c>
      <c r="E112" s="42" t="s">
        <v>5</v>
      </c>
      <c r="F112" s="42" t="s">
        <v>822</v>
      </c>
      <c r="G112" s="42" t="s">
        <v>877</v>
      </c>
      <c r="H112" s="42"/>
      <c r="I112" s="5"/>
      <c r="J112" s="5"/>
      <c r="K112" s="5"/>
      <c r="L112" s="5"/>
      <c r="M112" s="5"/>
      <c r="N112" s="5"/>
      <c r="O112" s="5"/>
      <c r="P112" s="5"/>
      <c r="Q112" s="5"/>
      <c r="R112" s="5"/>
    </row>
    <row r="113" spans="1:18" s="1" customFormat="1" ht="28" x14ac:dyDescent="0.25">
      <c r="A113" s="27"/>
      <c r="B113" s="5"/>
      <c r="C113" s="5"/>
      <c r="D113" s="42" t="s">
        <v>884</v>
      </c>
      <c r="E113" s="42" t="s">
        <v>5</v>
      </c>
      <c r="F113" s="42" t="s">
        <v>822</v>
      </c>
      <c r="G113" s="42" t="s">
        <v>879</v>
      </c>
      <c r="H113" s="42"/>
      <c r="I113" s="5"/>
      <c r="J113" s="5"/>
      <c r="K113" s="5"/>
      <c r="L113" s="5"/>
      <c r="M113" s="5"/>
      <c r="N113" s="5"/>
      <c r="O113" s="5"/>
      <c r="P113" s="5"/>
      <c r="Q113" s="5"/>
      <c r="R113" s="5"/>
    </row>
    <row r="114" spans="1:18" s="1" customFormat="1" ht="28" x14ac:dyDescent="0.25">
      <c r="A114" s="27"/>
      <c r="B114" s="5"/>
      <c r="C114" s="5"/>
      <c r="D114" s="42" t="s">
        <v>905</v>
      </c>
      <c r="E114" s="42" t="s">
        <v>5</v>
      </c>
      <c r="F114" s="42" t="s">
        <v>822</v>
      </c>
      <c r="G114" s="42" t="s">
        <v>880</v>
      </c>
      <c r="H114" s="42"/>
      <c r="I114" s="5"/>
      <c r="J114" s="5"/>
      <c r="K114" s="5"/>
      <c r="L114" s="5"/>
      <c r="M114" s="5"/>
      <c r="N114" s="5"/>
      <c r="O114" s="5"/>
      <c r="P114" s="5"/>
      <c r="Q114" s="5"/>
      <c r="R114" s="5"/>
    </row>
    <row r="115" spans="1:18" s="1" customFormat="1" ht="28" x14ac:dyDescent="0.25">
      <c r="A115" s="27"/>
      <c r="B115" s="5"/>
      <c r="C115" s="5"/>
      <c r="D115" s="42" t="s">
        <v>906</v>
      </c>
      <c r="E115" s="42" t="s">
        <v>5</v>
      </c>
      <c r="F115" s="42" t="s">
        <v>822</v>
      </c>
      <c r="G115" s="42" t="s">
        <v>886</v>
      </c>
      <c r="H115" s="42"/>
      <c r="I115" s="5"/>
      <c r="J115" s="5"/>
      <c r="K115" s="5"/>
      <c r="L115" s="5"/>
      <c r="M115" s="5"/>
      <c r="N115" s="5"/>
      <c r="O115" s="5"/>
      <c r="P115" s="5"/>
      <c r="Q115" s="5"/>
      <c r="R115" s="5"/>
    </row>
    <row r="116" spans="1:18" s="1" customFormat="1" ht="28" x14ac:dyDescent="0.25">
      <c r="A116" s="27"/>
      <c r="B116" s="5"/>
      <c r="C116" s="5"/>
      <c r="D116" s="42" t="s">
        <v>893</v>
      </c>
      <c r="E116" s="42" t="s">
        <v>5</v>
      </c>
      <c r="F116" s="42" t="s">
        <v>822</v>
      </c>
      <c r="G116" s="42" t="s">
        <v>894</v>
      </c>
      <c r="H116" s="42"/>
      <c r="I116" s="5"/>
      <c r="J116" s="5"/>
      <c r="K116" s="5"/>
      <c r="L116" s="5"/>
      <c r="M116" s="5"/>
      <c r="N116" s="5"/>
      <c r="O116" s="5"/>
      <c r="P116" s="5"/>
      <c r="Q116" s="5"/>
      <c r="R116" s="5"/>
    </row>
    <row r="117" spans="1:18" s="1" customFormat="1" ht="28" x14ac:dyDescent="0.25">
      <c r="A117" s="27"/>
      <c r="B117" s="5"/>
      <c r="C117" s="5"/>
      <c r="D117" s="42" t="s">
        <v>895</v>
      </c>
      <c r="E117" s="42" t="s">
        <v>5</v>
      </c>
      <c r="F117" s="42" t="s">
        <v>822</v>
      </c>
      <c r="G117" s="42" t="s">
        <v>892</v>
      </c>
      <c r="H117" s="42"/>
      <c r="I117" s="5"/>
      <c r="J117" s="5"/>
      <c r="K117" s="5"/>
      <c r="L117" s="5"/>
      <c r="M117" s="5"/>
      <c r="N117" s="5"/>
      <c r="O117" s="5"/>
      <c r="P117" s="5"/>
      <c r="Q117" s="5"/>
      <c r="R117" s="5"/>
    </row>
    <row r="118" spans="1:18" s="1" customFormat="1" x14ac:dyDescent="0.25">
      <c r="A118" s="27"/>
      <c r="B118" s="5"/>
      <c r="C118" s="5"/>
      <c r="D118" s="42" t="s">
        <v>581</v>
      </c>
      <c r="E118" s="42" t="s">
        <v>4</v>
      </c>
      <c r="F118" s="42" t="s">
        <v>564</v>
      </c>
      <c r="G118" s="42" t="s">
        <v>582</v>
      </c>
      <c r="H118" s="42" t="s">
        <v>654</v>
      </c>
      <c r="I118" s="5"/>
      <c r="J118" s="5"/>
      <c r="K118" s="5"/>
      <c r="L118" s="5"/>
      <c r="M118" s="5"/>
      <c r="N118" s="5"/>
      <c r="O118" s="5"/>
      <c r="P118" s="5"/>
      <c r="Q118" s="5"/>
      <c r="R118" s="5"/>
    </row>
    <row r="119" spans="1:18" s="1" customFormat="1" x14ac:dyDescent="0.25">
      <c r="A119" s="27"/>
      <c r="B119" s="5"/>
      <c r="C119" s="5"/>
      <c r="D119" s="42" t="s">
        <v>583</v>
      </c>
      <c r="E119" s="42" t="s">
        <v>212</v>
      </c>
      <c r="F119" s="42" t="s">
        <v>564</v>
      </c>
      <c r="G119" s="42" t="s">
        <v>582</v>
      </c>
      <c r="H119" s="42" t="s">
        <v>213</v>
      </c>
      <c r="I119" s="5"/>
      <c r="J119" s="5"/>
      <c r="K119" s="5"/>
      <c r="L119" s="5"/>
      <c r="M119" s="5"/>
      <c r="N119" s="5"/>
      <c r="O119" s="5"/>
      <c r="P119" s="5"/>
      <c r="Q119" s="5"/>
      <c r="R119" s="5"/>
    </row>
    <row r="120" spans="1:18" s="1" customFormat="1" x14ac:dyDescent="0.25">
      <c r="A120" s="27"/>
      <c r="B120" s="5"/>
      <c r="C120" s="5"/>
      <c r="D120" s="42" t="s">
        <v>610</v>
      </c>
      <c r="E120" s="42" t="s">
        <v>5</v>
      </c>
      <c r="F120" s="42" t="s">
        <v>564</v>
      </c>
      <c r="G120" s="42" t="s">
        <v>585</v>
      </c>
      <c r="H120" s="42"/>
      <c r="I120" s="5"/>
      <c r="J120" s="5"/>
      <c r="K120" s="5"/>
      <c r="L120" s="5"/>
      <c r="M120" s="5"/>
      <c r="N120" s="5"/>
      <c r="O120" s="5"/>
      <c r="P120" s="5"/>
      <c r="Q120" s="5"/>
      <c r="R120" s="5"/>
    </row>
    <row r="121" spans="1:18" s="1" customFormat="1" x14ac:dyDescent="0.25">
      <c r="A121" s="27"/>
      <c r="B121" s="5"/>
      <c r="C121" s="5"/>
      <c r="D121" s="42" t="s">
        <v>563</v>
      </c>
      <c r="E121" s="42" t="s">
        <v>5</v>
      </c>
      <c r="F121" s="42" t="s">
        <v>564</v>
      </c>
      <c r="G121" s="42" t="s">
        <v>586</v>
      </c>
      <c r="I121" s="5"/>
      <c r="J121" s="5"/>
      <c r="K121" s="5"/>
      <c r="L121" s="5"/>
      <c r="M121" s="5"/>
      <c r="N121" s="5"/>
      <c r="O121" s="5"/>
      <c r="P121" s="5"/>
      <c r="Q121" s="5"/>
      <c r="R121" s="5"/>
    </row>
    <row r="122" spans="1:18" s="1" customFormat="1" x14ac:dyDescent="0.25">
      <c r="A122" s="27"/>
      <c r="B122" s="5"/>
      <c r="C122" s="5"/>
      <c r="D122" s="42" t="s">
        <v>971</v>
      </c>
      <c r="E122" s="42" t="s">
        <v>5</v>
      </c>
      <c r="F122" s="42" t="s">
        <v>822</v>
      </c>
      <c r="G122" s="42" t="s">
        <v>970</v>
      </c>
      <c r="I122" s="5"/>
      <c r="J122" s="5"/>
      <c r="K122" s="5"/>
      <c r="L122" s="5"/>
      <c r="M122" s="5"/>
      <c r="N122" s="5"/>
      <c r="O122" s="5"/>
      <c r="P122" s="5"/>
      <c r="Q122" s="5"/>
      <c r="R122" s="5"/>
    </row>
    <row r="123" spans="1:18" s="1" customFormat="1" ht="28" x14ac:dyDescent="0.25">
      <c r="A123" s="27"/>
      <c r="B123" s="5"/>
      <c r="C123" s="5"/>
      <c r="D123" s="42" t="s">
        <v>899</v>
      </c>
      <c r="E123" s="42" t="s">
        <v>5</v>
      </c>
      <c r="F123" s="42" t="s">
        <v>822</v>
      </c>
      <c r="G123" s="42" t="s">
        <v>898</v>
      </c>
      <c r="I123" s="5"/>
      <c r="J123" s="5"/>
      <c r="K123" s="5"/>
      <c r="L123" s="5"/>
      <c r="M123" s="5"/>
      <c r="N123" s="5"/>
      <c r="O123" s="5"/>
      <c r="P123" s="5"/>
      <c r="Q123" s="5"/>
      <c r="R123" s="5"/>
    </row>
    <row r="124" spans="1:18" s="1" customFormat="1" ht="28" x14ac:dyDescent="0.25">
      <c r="A124" s="27"/>
      <c r="B124" s="5"/>
      <c r="C124" s="5"/>
      <c r="D124" s="42" t="s">
        <v>909</v>
      </c>
      <c r="E124" s="42" t="s">
        <v>5</v>
      </c>
      <c r="F124" s="42" t="s">
        <v>822</v>
      </c>
      <c r="G124" s="42" t="s">
        <v>887</v>
      </c>
      <c r="H124" s="42"/>
      <c r="I124" s="5"/>
      <c r="J124" s="5"/>
      <c r="K124" s="5"/>
      <c r="L124" s="5"/>
      <c r="M124" s="5"/>
      <c r="N124" s="5"/>
      <c r="O124" s="5"/>
      <c r="P124" s="5"/>
      <c r="Q124" s="5"/>
      <c r="R124" s="5"/>
    </row>
    <row r="125" spans="1:18" s="1" customFormat="1" ht="28" x14ac:dyDescent="0.25">
      <c r="A125" s="27"/>
      <c r="B125" s="5"/>
      <c r="C125" s="5"/>
      <c r="D125" s="42" t="s">
        <v>893</v>
      </c>
      <c r="E125" s="42" t="s">
        <v>5</v>
      </c>
      <c r="F125" s="42" t="s">
        <v>822</v>
      </c>
      <c r="G125" s="42" t="s">
        <v>894</v>
      </c>
      <c r="H125" s="42"/>
      <c r="I125" s="5"/>
      <c r="J125" s="5"/>
      <c r="K125" s="5"/>
      <c r="L125" s="5"/>
      <c r="M125" s="5"/>
      <c r="N125" s="5"/>
      <c r="O125" s="5"/>
      <c r="P125" s="5"/>
      <c r="Q125" s="5"/>
      <c r="R125" s="5"/>
    </row>
    <row r="126" spans="1:18" s="1" customFormat="1" ht="28" x14ac:dyDescent="0.25">
      <c r="A126" s="27"/>
      <c r="B126" s="5"/>
      <c r="C126" s="5"/>
      <c r="D126" s="42" t="s">
        <v>895</v>
      </c>
      <c r="E126" s="42" t="s">
        <v>5</v>
      </c>
      <c r="F126" s="42" t="s">
        <v>822</v>
      </c>
      <c r="G126" s="42" t="s">
        <v>892</v>
      </c>
      <c r="H126" s="42"/>
      <c r="I126" s="5"/>
      <c r="J126" s="5"/>
      <c r="K126" s="5"/>
      <c r="L126" s="5"/>
      <c r="M126" s="5"/>
      <c r="N126" s="5"/>
      <c r="O126" s="5"/>
      <c r="P126" s="5"/>
      <c r="Q126" s="5"/>
      <c r="R126" s="5"/>
    </row>
    <row r="127" spans="1:18" s="1" customFormat="1" x14ac:dyDescent="0.25">
      <c r="A127" s="27"/>
      <c r="B127" s="5"/>
      <c r="C127" s="5"/>
      <c r="D127" s="42" t="s">
        <v>581</v>
      </c>
      <c r="E127" s="42" t="s">
        <v>4</v>
      </c>
      <c r="F127" s="42" t="s">
        <v>564</v>
      </c>
      <c r="G127" s="42" t="s">
        <v>582</v>
      </c>
      <c r="H127" s="42" t="s">
        <v>654</v>
      </c>
      <c r="I127" s="5"/>
      <c r="J127" s="5"/>
      <c r="K127" s="5"/>
      <c r="L127" s="5"/>
      <c r="M127" s="5"/>
      <c r="N127" s="5"/>
      <c r="O127" s="5"/>
      <c r="P127" s="5"/>
      <c r="Q127" s="5"/>
      <c r="R127" s="5"/>
    </row>
    <row r="128" spans="1:18" s="1" customFormat="1" x14ac:dyDescent="0.25">
      <c r="A128" s="27"/>
      <c r="B128" s="5"/>
      <c r="C128" s="5"/>
      <c r="D128" s="42" t="s">
        <v>583</v>
      </c>
      <c r="E128" s="42" t="s">
        <v>212</v>
      </c>
      <c r="F128" s="42" t="s">
        <v>564</v>
      </c>
      <c r="G128" s="42" t="s">
        <v>582</v>
      </c>
      <c r="H128" s="42" t="s">
        <v>213</v>
      </c>
      <c r="I128" s="5"/>
      <c r="J128" s="5"/>
      <c r="K128" s="5"/>
      <c r="L128" s="5"/>
      <c r="M128" s="5"/>
      <c r="N128" s="5"/>
      <c r="O128" s="5"/>
      <c r="P128" s="5"/>
      <c r="Q128" s="5"/>
      <c r="R128" s="5"/>
    </row>
    <row r="129" spans="1:18" s="1" customFormat="1" x14ac:dyDescent="0.25">
      <c r="A129" s="27"/>
      <c r="B129" s="5"/>
      <c r="C129" s="5"/>
      <c r="D129" s="42" t="s">
        <v>610</v>
      </c>
      <c r="E129" s="42" t="s">
        <v>5</v>
      </c>
      <c r="F129" s="42" t="s">
        <v>564</v>
      </c>
      <c r="G129" s="42" t="s">
        <v>585</v>
      </c>
      <c r="H129" s="42"/>
      <c r="I129" s="5"/>
      <c r="J129" s="5"/>
      <c r="K129" s="5"/>
      <c r="L129" s="5"/>
      <c r="M129" s="5"/>
      <c r="N129" s="5"/>
      <c r="O129" s="5"/>
      <c r="P129" s="5"/>
      <c r="Q129" s="5"/>
      <c r="R129" s="5"/>
    </row>
    <row r="130" spans="1:18" s="1" customFormat="1" x14ac:dyDescent="0.25">
      <c r="A130" s="27"/>
      <c r="B130" s="5"/>
      <c r="C130" s="5"/>
      <c r="D130" s="42" t="s">
        <v>563</v>
      </c>
      <c r="E130" s="42" t="s">
        <v>5</v>
      </c>
      <c r="F130" s="42" t="s">
        <v>564</v>
      </c>
      <c r="G130" s="42" t="s">
        <v>586</v>
      </c>
      <c r="I130" s="5"/>
      <c r="J130" s="5"/>
      <c r="K130" s="5"/>
      <c r="L130" s="5"/>
      <c r="M130" s="5"/>
      <c r="N130" s="5"/>
      <c r="O130" s="5"/>
      <c r="P130" s="5"/>
      <c r="Q130" s="5"/>
      <c r="R130" s="5"/>
    </row>
    <row r="131" spans="1:18" s="1" customFormat="1" x14ac:dyDescent="0.25">
      <c r="A131" s="27"/>
      <c r="B131" s="5"/>
      <c r="C131" s="5"/>
      <c r="D131" s="42" t="s">
        <v>971</v>
      </c>
      <c r="E131" s="42" t="s">
        <v>5</v>
      </c>
      <c r="F131" s="42" t="s">
        <v>822</v>
      </c>
      <c r="G131" s="42" t="s">
        <v>970</v>
      </c>
      <c r="I131" s="5"/>
      <c r="J131" s="5"/>
      <c r="K131" s="5"/>
      <c r="L131" s="5"/>
      <c r="M131" s="5"/>
      <c r="N131" s="5"/>
      <c r="O131" s="5"/>
      <c r="P131" s="5"/>
      <c r="Q131" s="5"/>
      <c r="R131" s="5"/>
    </row>
    <row r="132" spans="1:18" s="1" customFormat="1" ht="28" x14ac:dyDescent="0.25">
      <c r="A132" s="27"/>
      <c r="B132" s="5"/>
      <c r="C132" s="5"/>
      <c r="D132" s="42" t="s">
        <v>899</v>
      </c>
      <c r="E132" s="42" t="s">
        <v>5</v>
      </c>
      <c r="F132" s="42" t="s">
        <v>822</v>
      </c>
      <c r="G132" s="42" t="s">
        <v>898</v>
      </c>
      <c r="I132" s="5"/>
      <c r="J132" s="5"/>
      <c r="K132" s="5"/>
      <c r="L132" s="5"/>
      <c r="M132" s="5"/>
      <c r="N132" s="5"/>
      <c r="O132" s="5"/>
      <c r="P132" s="5"/>
      <c r="Q132" s="5"/>
      <c r="R132" s="5"/>
    </row>
    <row r="133" spans="1:18" s="1" customFormat="1" ht="28" x14ac:dyDescent="0.25">
      <c r="A133" s="27"/>
      <c r="B133" s="5"/>
      <c r="C133" s="5"/>
      <c r="D133" s="42" t="s">
        <v>908</v>
      </c>
      <c r="E133" s="42" t="s">
        <v>5</v>
      </c>
      <c r="F133" s="42" t="s">
        <v>822</v>
      </c>
      <c r="G133" s="42" t="s">
        <v>888</v>
      </c>
      <c r="H133" s="42"/>
      <c r="I133" s="5"/>
      <c r="J133" s="5"/>
      <c r="K133" s="5"/>
      <c r="L133" s="5"/>
      <c r="M133" s="5"/>
      <c r="N133" s="5"/>
      <c r="O133" s="5"/>
      <c r="P133" s="5"/>
      <c r="Q133" s="5"/>
      <c r="R133" s="5"/>
    </row>
    <row r="134" spans="1:18" s="1" customFormat="1" ht="28" x14ac:dyDescent="0.25">
      <c r="A134" s="27"/>
      <c r="B134" s="5"/>
      <c r="C134" s="5"/>
      <c r="D134" s="42" t="s">
        <v>893</v>
      </c>
      <c r="E134" s="42" t="s">
        <v>5</v>
      </c>
      <c r="F134" s="42" t="s">
        <v>822</v>
      </c>
      <c r="G134" s="42" t="s">
        <v>894</v>
      </c>
      <c r="H134" s="42"/>
      <c r="I134" s="5"/>
      <c r="J134" s="5"/>
      <c r="K134" s="5"/>
      <c r="L134" s="5"/>
      <c r="M134" s="5"/>
      <c r="N134" s="5"/>
      <c r="O134" s="5"/>
      <c r="P134" s="5"/>
      <c r="Q134" s="5"/>
      <c r="R134" s="5"/>
    </row>
    <row r="135" spans="1:18" s="1" customFormat="1" ht="28" x14ac:dyDescent="0.25">
      <c r="A135" s="27"/>
      <c r="B135" s="5"/>
      <c r="C135" s="5"/>
      <c r="D135" s="42" t="s">
        <v>895</v>
      </c>
      <c r="E135" s="42" t="s">
        <v>5</v>
      </c>
      <c r="F135" s="42" t="s">
        <v>822</v>
      </c>
      <c r="G135" s="42" t="s">
        <v>892</v>
      </c>
      <c r="H135" s="42"/>
      <c r="I135" s="5"/>
      <c r="J135" s="5"/>
      <c r="K135" s="5"/>
      <c r="L135" s="5"/>
      <c r="M135" s="5"/>
      <c r="N135" s="5"/>
      <c r="O135" s="5"/>
      <c r="P135" s="5"/>
      <c r="Q135" s="5"/>
      <c r="R135" s="5"/>
    </row>
    <row r="136" spans="1:18" s="1" customFormat="1" x14ac:dyDescent="0.25">
      <c r="A136" s="27"/>
      <c r="B136" s="5"/>
      <c r="C136" s="5"/>
      <c r="D136" s="42" t="s">
        <v>581</v>
      </c>
      <c r="E136" s="42" t="s">
        <v>4</v>
      </c>
      <c r="F136" s="42" t="s">
        <v>564</v>
      </c>
      <c r="G136" s="42" t="s">
        <v>582</v>
      </c>
      <c r="H136" s="42" t="s">
        <v>654</v>
      </c>
      <c r="I136" s="5"/>
      <c r="J136" s="5"/>
      <c r="K136" s="5"/>
      <c r="L136" s="5"/>
      <c r="M136" s="5"/>
      <c r="N136" s="5"/>
      <c r="O136" s="5"/>
      <c r="P136" s="5"/>
      <c r="Q136" s="5"/>
      <c r="R136" s="5"/>
    </row>
    <row r="137" spans="1:18" s="1" customFormat="1" x14ac:dyDescent="0.25">
      <c r="A137" s="27"/>
      <c r="B137" s="5"/>
      <c r="C137" s="5"/>
      <c r="D137" s="42" t="s">
        <v>583</v>
      </c>
      <c r="E137" s="42" t="s">
        <v>212</v>
      </c>
      <c r="F137" s="42" t="s">
        <v>564</v>
      </c>
      <c r="G137" s="42" t="s">
        <v>582</v>
      </c>
      <c r="H137" s="42" t="s">
        <v>213</v>
      </c>
      <c r="I137" s="5"/>
      <c r="J137" s="5"/>
      <c r="K137" s="5"/>
      <c r="L137" s="5"/>
      <c r="M137" s="5"/>
      <c r="N137" s="5"/>
      <c r="O137" s="5"/>
      <c r="P137" s="5"/>
      <c r="Q137" s="5"/>
      <c r="R137" s="5"/>
    </row>
    <row r="138" spans="1:18" s="1" customFormat="1" x14ac:dyDescent="0.25">
      <c r="A138" s="27"/>
      <c r="B138" s="5"/>
      <c r="C138" s="5"/>
      <c r="D138" s="42" t="s">
        <v>610</v>
      </c>
      <c r="E138" s="42" t="s">
        <v>5</v>
      </c>
      <c r="F138" s="42" t="s">
        <v>564</v>
      </c>
      <c r="G138" s="42" t="s">
        <v>585</v>
      </c>
      <c r="H138" s="42"/>
      <c r="I138" s="5"/>
      <c r="J138" s="5"/>
      <c r="K138" s="5"/>
      <c r="L138" s="5"/>
      <c r="M138" s="5"/>
      <c r="N138" s="5"/>
      <c r="O138" s="5"/>
      <c r="P138" s="5"/>
      <c r="Q138" s="5"/>
      <c r="R138" s="5"/>
    </row>
    <row r="139" spans="1:18" s="1" customFormat="1" x14ac:dyDescent="0.25">
      <c r="A139" s="27"/>
      <c r="B139" s="5"/>
      <c r="C139" s="5"/>
      <c r="D139" s="42" t="s">
        <v>563</v>
      </c>
      <c r="E139" s="42" t="s">
        <v>5</v>
      </c>
      <c r="F139" s="42" t="s">
        <v>564</v>
      </c>
      <c r="G139" s="42" t="s">
        <v>586</v>
      </c>
      <c r="I139" s="5"/>
      <c r="J139" s="5"/>
      <c r="K139" s="5"/>
      <c r="L139" s="5"/>
      <c r="M139" s="5"/>
      <c r="N139" s="5"/>
      <c r="O139" s="5"/>
      <c r="P139" s="5"/>
      <c r="Q139" s="5"/>
      <c r="R139" s="5"/>
    </row>
    <row r="140" spans="1:18" s="1" customFormat="1" x14ac:dyDescent="0.25">
      <c r="A140" s="27"/>
      <c r="B140" s="5"/>
      <c r="C140" s="5"/>
      <c r="D140" s="42" t="s">
        <v>971</v>
      </c>
      <c r="E140" s="42" t="s">
        <v>5</v>
      </c>
      <c r="F140" s="42" t="s">
        <v>822</v>
      </c>
      <c r="G140" s="42" t="s">
        <v>970</v>
      </c>
      <c r="I140" s="5"/>
      <c r="J140" s="5"/>
      <c r="K140" s="5"/>
      <c r="L140" s="5"/>
      <c r="M140" s="5"/>
      <c r="N140" s="5"/>
      <c r="O140" s="5"/>
      <c r="P140" s="5"/>
      <c r="Q140" s="5"/>
      <c r="R140" s="5"/>
    </row>
    <row r="141" spans="1:18" s="1" customFormat="1" ht="28" x14ac:dyDescent="0.25">
      <c r="A141" s="27"/>
      <c r="B141" s="5"/>
      <c r="C141" s="5"/>
      <c r="D141" s="42" t="s">
        <v>899</v>
      </c>
      <c r="E141" s="42" t="s">
        <v>5</v>
      </c>
      <c r="F141" s="42" t="s">
        <v>822</v>
      </c>
      <c r="G141" s="42" t="s">
        <v>898</v>
      </c>
      <c r="I141" s="5"/>
      <c r="J141" s="5"/>
      <c r="K141" s="5"/>
      <c r="L141" s="5"/>
      <c r="M141" s="5"/>
      <c r="N141" s="5"/>
      <c r="O141" s="5"/>
      <c r="P141" s="5"/>
      <c r="Q141" s="5"/>
      <c r="R141" s="5"/>
    </row>
    <row r="142" spans="1:18" s="1" customFormat="1" ht="28" x14ac:dyDescent="0.25">
      <c r="A142" s="27"/>
      <c r="B142" s="5"/>
      <c r="C142" s="5"/>
      <c r="D142" s="42" t="s">
        <v>907</v>
      </c>
      <c r="E142" s="42" t="s">
        <v>5</v>
      </c>
      <c r="F142" s="42" t="s">
        <v>822</v>
      </c>
      <c r="G142" s="42" t="s">
        <v>889</v>
      </c>
      <c r="H142" s="42"/>
      <c r="I142" s="5"/>
      <c r="J142" s="5"/>
      <c r="K142" s="5"/>
      <c r="L142" s="5"/>
      <c r="M142" s="5"/>
      <c r="N142" s="5"/>
      <c r="O142" s="5"/>
      <c r="P142" s="5"/>
      <c r="Q142" s="5"/>
      <c r="R142" s="5"/>
    </row>
    <row r="143" spans="1:18" s="1" customFormat="1" ht="28" x14ac:dyDescent="0.25">
      <c r="A143" s="27"/>
      <c r="B143" s="5"/>
      <c r="C143" s="5"/>
      <c r="D143" s="42" t="s">
        <v>893</v>
      </c>
      <c r="E143" s="42" t="s">
        <v>5</v>
      </c>
      <c r="F143" s="42" t="s">
        <v>822</v>
      </c>
      <c r="G143" s="42" t="s">
        <v>894</v>
      </c>
      <c r="H143" s="42"/>
      <c r="I143" s="5"/>
      <c r="J143" s="5"/>
      <c r="K143" s="5"/>
      <c r="L143" s="5"/>
      <c r="M143" s="5"/>
      <c r="N143" s="5"/>
      <c r="O143" s="5"/>
      <c r="P143" s="5"/>
      <c r="Q143" s="5"/>
      <c r="R143" s="5"/>
    </row>
    <row r="144" spans="1:18" s="1" customFormat="1" ht="28" x14ac:dyDescent="0.25">
      <c r="A144" s="27"/>
      <c r="B144" s="5"/>
      <c r="C144" s="5"/>
      <c r="D144" s="42" t="s">
        <v>895</v>
      </c>
      <c r="E144" s="42" t="s">
        <v>5</v>
      </c>
      <c r="F144" s="42" t="s">
        <v>822</v>
      </c>
      <c r="G144" s="42" t="s">
        <v>892</v>
      </c>
      <c r="H144" s="42"/>
      <c r="I144" s="5"/>
      <c r="J144" s="5"/>
      <c r="K144" s="5"/>
      <c r="L144" s="5"/>
      <c r="M144" s="5"/>
      <c r="N144" s="5"/>
      <c r="O144" s="5"/>
      <c r="P144" s="5"/>
      <c r="Q144" s="5"/>
      <c r="R144" s="5"/>
    </row>
    <row r="145" spans="1:18" s="1" customFormat="1" x14ac:dyDescent="0.25">
      <c r="A145" s="27"/>
      <c r="B145" s="5"/>
      <c r="C145" s="5"/>
      <c r="D145" s="42" t="s">
        <v>581</v>
      </c>
      <c r="E145" s="42" t="s">
        <v>4</v>
      </c>
      <c r="F145" s="42" t="s">
        <v>564</v>
      </c>
      <c r="G145" s="42" t="s">
        <v>582</v>
      </c>
      <c r="H145" s="42" t="s">
        <v>654</v>
      </c>
      <c r="I145" s="5"/>
      <c r="J145" s="5"/>
      <c r="K145" s="5"/>
      <c r="L145" s="5"/>
      <c r="M145" s="5"/>
      <c r="N145" s="5"/>
      <c r="O145" s="5"/>
      <c r="P145" s="5"/>
      <c r="Q145" s="5"/>
      <c r="R145" s="5"/>
    </row>
    <row r="146" spans="1:18" s="1" customFormat="1" x14ac:dyDescent="0.25">
      <c r="A146" s="27"/>
      <c r="B146" s="5"/>
      <c r="C146" s="5"/>
      <c r="D146" s="42" t="s">
        <v>583</v>
      </c>
      <c r="E146" s="42" t="s">
        <v>212</v>
      </c>
      <c r="F146" s="42" t="s">
        <v>564</v>
      </c>
      <c r="G146" s="42" t="s">
        <v>582</v>
      </c>
      <c r="H146" s="42" t="s">
        <v>213</v>
      </c>
      <c r="I146" s="5"/>
      <c r="J146" s="5"/>
      <c r="K146" s="5"/>
      <c r="L146" s="5"/>
      <c r="M146" s="5"/>
      <c r="N146" s="5"/>
      <c r="O146" s="5"/>
      <c r="P146" s="5"/>
      <c r="Q146" s="5"/>
      <c r="R146" s="5"/>
    </row>
    <row r="147" spans="1:18" s="1" customFormat="1" x14ac:dyDescent="0.25">
      <c r="A147" s="27"/>
      <c r="B147" s="5"/>
      <c r="C147" s="5"/>
      <c r="D147" s="42" t="s">
        <v>610</v>
      </c>
      <c r="E147" s="42" t="s">
        <v>5</v>
      </c>
      <c r="F147" s="42" t="s">
        <v>564</v>
      </c>
      <c r="G147" s="42" t="s">
        <v>585</v>
      </c>
      <c r="H147" s="42"/>
      <c r="I147" s="5"/>
      <c r="J147" s="5"/>
      <c r="K147" s="5"/>
      <c r="L147" s="5"/>
      <c r="M147" s="5"/>
      <c r="N147" s="5"/>
      <c r="O147" s="5"/>
      <c r="P147" s="5"/>
      <c r="Q147" s="5"/>
      <c r="R147" s="5"/>
    </row>
    <row r="148" spans="1:18" s="1" customFormat="1" x14ac:dyDescent="0.25">
      <c r="A148" s="27"/>
      <c r="B148" s="5"/>
      <c r="C148" s="5"/>
      <c r="D148" s="42" t="s">
        <v>563</v>
      </c>
      <c r="E148" s="42" t="s">
        <v>5</v>
      </c>
      <c r="F148" s="42" t="s">
        <v>564</v>
      </c>
      <c r="G148" s="42" t="s">
        <v>586</v>
      </c>
      <c r="I148" s="5"/>
      <c r="J148" s="5"/>
      <c r="K148" s="5"/>
      <c r="L148" s="5"/>
      <c r="M148" s="5"/>
      <c r="N148" s="5"/>
      <c r="O148" s="5"/>
      <c r="P148" s="5"/>
      <c r="Q148" s="5"/>
      <c r="R148" s="5"/>
    </row>
    <row r="149" spans="1:18" s="1" customFormat="1" x14ac:dyDescent="0.25">
      <c r="A149" s="27"/>
      <c r="B149" s="5"/>
      <c r="C149" s="5"/>
      <c r="D149" s="42" t="s">
        <v>971</v>
      </c>
      <c r="E149" s="42" t="s">
        <v>5</v>
      </c>
      <c r="F149" s="42" t="s">
        <v>822</v>
      </c>
      <c r="G149" s="42" t="s">
        <v>970</v>
      </c>
      <c r="I149" s="5"/>
      <c r="J149" s="5"/>
      <c r="K149" s="5"/>
      <c r="L149" s="5"/>
      <c r="M149" s="5"/>
      <c r="N149" s="5"/>
      <c r="O149" s="5"/>
      <c r="P149" s="5"/>
      <c r="Q149" s="5"/>
      <c r="R149" s="5"/>
    </row>
    <row r="150" spans="1:18" s="1" customFormat="1" ht="28" x14ac:dyDescent="0.25">
      <c r="A150" s="27"/>
      <c r="B150" s="5"/>
      <c r="C150" s="5"/>
      <c r="D150" s="42" t="s">
        <v>899</v>
      </c>
      <c r="E150" s="42" t="s">
        <v>5</v>
      </c>
      <c r="F150" s="42" t="s">
        <v>822</v>
      </c>
      <c r="G150" s="42" t="s">
        <v>898</v>
      </c>
      <c r="I150" s="5"/>
      <c r="J150" s="5"/>
      <c r="K150" s="5"/>
      <c r="L150" s="5"/>
      <c r="M150" s="5"/>
      <c r="N150" s="5"/>
      <c r="O150" s="5"/>
      <c r="P150" s="5"/>
      <c r="Q150" s="5"/>
      <c r="R150" s="5"/>
    </row>
    <row r="151" spans="1:18" s="1" customFormat="1" x14ac:dyDescent="0.25">
      <c r="A151" s="27"/>
      <c r="B151" s="5"/>
      <c r="C151" s="5"/>
      <c r="D151" s="42" t="s">
        <v>993</v>
      </c>
      <c r="E151" s="42"/>
      <c r="F151" s="42"/>
      <c r="G151" s="42"/>
      <c r="I151" s="5"/>
      <c r="J151" s="5"/>
      <c r="K151" s="5"/>
      <c r="L151" s="5"/>
      <c r="M151" s="5"/>
      <c r="N151" s="5"/>
      <c r="O151" s="5"/>
      <c r="P151" s="5"/>
      <c r="Q151" s="5"/>
      <c r="R151" s="5"/>
    </row>
    <row r="152" spans="1:18" s="1" customFormat="1" ht="28" x14ac:dyDescent="0.25">
      <c r="A152" s="27"/>
      <c r="B152" s="5"/>
      <c r="C152" s="5"/>
      <c r="D152" s="42" t="s">
        <v>871</v>
      </c>
      <c r="E152" s="42" t="s">
        <v>984</v>
      </c>
      <c r="F152" s="42" t="s">
        <v>822</v>
      </c>
      <c r="G152" s="42" t="s">
        <v>994</v>
      </c>
      <c r="H152" s="42" t="s">
        <v>992</v>
      </c>
      <c r="I152" s="5"/>
      <c r="J152" s="5"/>
      <c r="K152" s="5"/>
      <c r="L152" s="5"/>
      <c r="M152" s="5"/>
      <c r="N152" s="5"/>
      <c r="O152" s="5"/>
      <c r="P152" s="5"/>
      <c r="Q152" s="5"/>
      <c r="R152" s="5"/>
    </row>
    <row r="153" spans="1:18" s="1" customFormat="1" ht="28" x14ac:dyDescent="0.25">
      <c r="A153" s="27"/>
      <c r="B153" s="5"/>
      <c r="C153" s="5"/>
      <c r="D153" s="42" t="s">
        <v>991</v>
      </c>
      <c r="E153" s="42" t="s">
        <v>984</v>
      </c>
      <c r="F153" s="42" t="s">
        <v>822</v>
      </c>
      <c r="G153" s="42" t="s">
        <v>995</v>
      </c>
      <c r="H153" s="42" t="s">
        <v>990</v>
      </c>
      <c r="I153" s="5"/>
      <c r="J153" s="5"/>
      <c r="K153" s="5"/>
      <c r="L153" s="5"/>
      <c r="M153" s="5"/>
      <c r="N153" s="5"/>
      <c r="O153" s="5"/>
      <c r="P153" s="5"/>
      <c r="Q153" s="5"/>
      <c r="R153" s="5"/>
    </row>
    <row r="154" spans="1:18" s="1" customFormat="1" ht="28" x14ac:dyDescent="0.25">
      <c r="A154" s="27"/>
      <c r="B154" s="5"/>
      <c r="C154" s="5"/>
      <c r="D154" s="42" t="s">
        <v>872</v>
      </c>
      <c r="E154" s="42" t="s">
        <v>984</v>
      </c>
      <c r="F154" s="42" t="s">
        <v>822</v>
      </c>
      <c r="G154" s="42" t="s">
        <v>996</v>
      </c>
      <c r="H154" s="42" t="s">
        <v>992</v>
      </c>
      <c r="I154" s="5"/>
      <c r="J154" s="5"/>
      <c r="K154" s="5"/>
      <c r="L154" s="5"/>
      <c r="M154" s="5"/>
      <c r="N154" s="5"/>
      <c r="O154" s="5"/>
      <c r="P154" s="5"/>
      <c r="Q154" s="5"/>
      <c r="R154" s="5"/>
    </row>
    <row r="155" spans="1:18" s="1" customFormat="1" ht="28" x14ac:dyDescent="0.25">
      <c r="A155" s="27">
        <v>0</v>
      </c>
      <c r="B155" s="42" t="s">
        <v>916</v>
      </c>
      <c r="C155" s="42" t="s">
        <v>896</v>
      </c>
      <c r="D155" s="42" t="s">
        <v>562</v>
      </c>
      <c r="E155" s="42" t="s">
        <v>15</v>
      </c>
      <c r="F155" s="42" t="s">
        <v>564</v>
      </c>
      <c r="G155" s="42"/>
      <c r="H155" s="76" t="s">
        <v>949</v>
      </c>
      <c r="I155" s="5"/>
      <c r="J155" s="5"/>
      <c r="K155" s="5"/>
      <c r="L155" s="5"/>
      <c r="M155" s="5"/>
      <c r="N155" s="5"/>
      <c r="O155" s="5"/>
      <c r="P155" s="5"/>
      <c r="Q155" s="5"/>
      <c r="R155" s="5"/>
    </row>
    <row r="156" spans="1:18" s="1" customFormat="1" x14ac:dyDescent="0.25">
      <c r="A156" s="27"/>
      <c r="B156" s="5"/>
      <c r="C156" s="5"/>
      <c r="D156" s="42" t="s">
        <v>567</v>
      </c>
      <c r="E156" s="42" t="s">
        <v>568</v>
      </c>
      <c r="F156" s="42" t="s">
        <v>564</v>
      </c>
      <c r="G156" s="42" t="s">
        <v>573</v>
      </c>
      <c r="H156" s="88"/>
      <c r="I156" s="5"/>
      <c r="J156" s="5"/>
      <c r="K156" s="5"/>
      <c r="L156" s="5"/>
      <c r="M156" s="5"/>
      <c r="N156" s="5"/>
      <c r="O156" s="5"/>
      <c r="P156" s="5"/>
      <c r="Q156" s="5"/>
      <c r="R156" s="5"/>
    </row>
    <row r="157" spans="1:18" s="1" customFormat="1" x14ac:dyDescent="0.25">
      <c r="A157" s="27"/>
      <c r="B157" s="5"/>
      <c r="C157" s="5"/>
      <c r="D157" s="42" t="s">
        <v>572</v>
      </c>
      <c r="E157" s="42" t="s">
        <v>5</v>
      </c>
      <c r="F157" s="42" t="s">
        <v>564</v>
      </c>
      <c r="G157" s="42" t="s">
        <v>574</v>
      </c>
      <c r="H157" s="88" t="s">
        <v>213</v>
      </c>
      <c r="I157" s="5"/>
      <c r="J157" s="5"/>
      <c r="K157" s="5"/>
      <c r="L157" s="5"/>
      <c r="M157" s="5"/>
      <c r="N157" s="5"/>
      <c r="O157" s="5"/>
      <c r="P157" s="5"/>
      <c r="Q157" s="5"/>
      <c r="R157" s="5"/>
    </row>
    <row r="158" spans="1:18" s="1" customFormat="1" ht="28" x14ac:dyDescent="0.25">
      <c r="A158" s="27"/>
      <c r="B158" s="5"/>
      <c r="C158" s="5"/>
      <c r="D158" s="42" t="s">
        <v>594</v>
      </c>
      <c r="E158" s="42" t="s">
        <v>5</v>
      </c>
      <c r="F158" s="42" t="s">
        <v>587</v>
      </c>
      <c r="G158" s="95" t="s">
        <v>588</v>
      </c>
      <c r="I158" s="5"/>
      <c r="J158" s="5"/>
      <c r="K158" s="5"/>
      <c r="L158" s="5"/>
      <c r="M158" s="5"/>
      <c r="N158" s="5"/>
      <c r="O158" s="5"/>
      <c r="P158" s="5"/>
      <c r="Q158" s="5"/>
      <c r="R158" s="5"/>
    </row>
    <row r="159" spans="1:18" s="1" customFormat="1" ht="28" x14ac:dyDescent="0.25">
      <c r="A159" s="27"/>
      <c r="B159" s="5"/>
      <c r="C159" s="5"/>
      <c r="D159" s="42" t="s">
        <v>591</v>
      </c>
      <c r="E159" s="42" t="s">
        <v>73</v>
      </c>
      <c r="F159" s="42" t="s">
        <v>587</v>
      </c>
      <c r="G159" s="95" t="s">
        <v>591</v>
      </c>
      <c r="H159" s="42"/>
      <c r="I159" s="5"/>
      <c r="J159" s="5"/>
      <c r="K159" s="5"/>
      <c r="L159" s="5"/>
      <c r="M159" s="5"/>
      <c r="N159" s="5"/>
      <c r="O159" s="5"/>
      <c r="P159" s="5"/>
      <c r="Q159" s="5"/>
      <c r="R159" s="5"/>
    </row>
    <row r="160" spans="1:18" s="1" customFormat="1" x14ac:dyDescent="0.25">
      <c r="A160" s="27"/>
      <c r="B160" s="5"/>
      <c r="C160" s="5"/>
      <c r="D160" s="42" t="s">
        <v>591</v>
      </c>
      <c r="E160" s="42" t="s">
        <v>67</v>
      </c>
      <c r="F160" s="42" t="s">
        <v>587</v>
      </c>
      <c r="G160" s="116" t="s">
        <v>1036</v>
      </c>
      <c r="H160" s="42" t="s">
        <v>702</v>
      </c>
      <c r="I160" s="5"/>
      <c r="J160" s="5"/>
      <c r="K160" s="5"/>
      <c r="L160" s="5"/>
      <c r="M160" s="5"/>
      <c r="N160" s="5"/>
      <c r="O160" s="5"/>
      <c r="P160" s="5"/>
      <c r="Q160" s="5"/>
      <c r="R160" s="5"/>
    </row>
    <row r="161" spans="1:18" s="1" customFormat="1" x14ac:dyDescent="0.25">
      <c r="A161" s="27"/>
      <c r="B161" s="5"/>
      <c r="C161" s="5"/>
      <c r="D161" s="42" t="s">
        <v>591</v>
      </c>
      <c r="E161" s="42" t="s">
        <v>73</v>
      </c>
      <c r="F161" s="42" t="s">
        <v>587</v>
      </c>
      <c r="G161" s="116" t="s">
        <v>741</v>
      </c>
      <c r="H161" s="42"/>
      <c r="I161" s="5"/>
      <c r="J161" s="5"/>
      <c r="K161" s="5"/>
      <c r="L161" s="5"/>
      <c r="M161" s="5"/>
      <c r="N161" s="5"/>
      <c r="O161" s="5"/>
      <c r="P161" s="5"/>
      <c r="Q161" s="5"/>
      <c r="R161" s="5"/>
    </row>
    <row r="162" spans="1:18" s="1" customFormat="1" ht="28" x14ac:dyDescent="0.25">
      <c r="A162" s="27"/>
      <c r="B162" s="5"/>
      <c r="C162" s="5"/>
      <c r="D162" s="42" t="s">
        <v>902</v>
      </c>
      <c r="E162" s="42" t="s">
        <v>531</v>
      </c>
      <c r="F162" s="42" t="s">
        <v>587</v>
      </c>
      <c r="G162" s="95" t="s">
        <v>901</v>
      </c>
      <c r="H162" s="1" t="b">
        <v>1</v>
      </c>
      <c r="I162" s="5"/>
      <c r="J162" s="5"/>
      <c r="K162" s="5"/>
      <c r="L162" s="5"/>
      <c r="M162" s="5"/>
      <c r="N162" s="5"/>
      <c r="O162" s="5"/>
      <c r="P162" s="5"/>
      <c r="Q162" s="5"/>
      <c r="R162" s="5"/>
    </row>
    <row r="163" spans="1:18" s="1" customFormat="1" ht="28" x14ac:dyDescent="0.25">
      <c r="A163" s="27">
        <v>0</v>
      </c>
      <c r="B163" s="42" t="s">
        <v>915</v>
      </c>
      <c r="C163" s="42" t="s">
        <v>903</v>
      </c>
      <c r="D163" s="42" t="s">
        <v>982</v>
      </c>
      <c r="E163" s="42" t="s">
        <v>15</v>
      </c>
      <c r="F163" s="42"/>
      <c r="G163" s="42"/>
      <c r="H163" s="102" t="s">
        <v>981</v>
      </c>
      <c r="I163" s="5"/>
      <c r="J163" s="5"/>
      <c r="K163" s="5"/>
      <c r="L163" s="5"/>
      <c r="M163" s="5"/>
      <c r="N163" s="5"/>
      <c r="O163" s="5"/>
      <c r="P163" s="5"/>
      <c r="Q163" s="5"/>
      <c r="R163" s="5"/>
    </row>
    <row r="164" spans="1:18" s="1" customFormat="1" x14ac:dyDescent="0.25">
      <c r="A164" s="27"/>
      <c r="B164" s="5"/>
      <c r="C164" s="5"/>
      <c r="D164" s="42" t="s">
        <v>613</v>
      </c>
      <c r="E164" s="42" t="s">
        <v>211</v>
      </c>
      <c r="F164" s="42" t="s">
        <v>564</v>
      </c>
      <c r="G164" s="42" t="s">
        <v>611</v>
      </c>
      <c r="H164" s="42"/>
      <c r="I164" s="5"/>
      <c r="J164" s="5"/>
      <c r="K164" s="5"/>
      <c r="L164" s="5"/>
      <c r="M164" s="5"/>
      <c r="N164" s="5"/>
      <c r="O164" s="5"/>
      <c r="P164" s="5"/>
      <c r="Q164" s="5"/>
      <c r="R164" s="5"/>
    </row>
    <row r="165" spans="1:18" s="1" customFormat="1" x14ac:dyDescent="0.25">
      <c r="A165" s="27"/>
      <c r="B165" s="5"/>
      <c r="C165" s="5"/>
      <c r="D165" s="42" t="s">
        <v>825</v>
      </c>
      <c r="E165" s="42" t="s">
        <v>5</v>
      </c>
      <c r="F165" s="42" t="s">
        <v>564</v>
      </c>
      <c r="G165" s="42" t="s">
        <v>818</v>
      </c>
      <c r="H165" s="42"/>
      <c r="I165" s="5"/>
      <c r="J165" s="5"/>
      <c r="K165" s="5"/>
      <c r="L165" s="5"/>
      <c r="M165" s="5"/>
      <c r="N165" s="5"/>
      <c r="O165" s="5"/>
      <c r="P165" s="5"/>
      <c r="Q165" s="5"/>
      <c r="R165" s="5"/>
    </row>
    <row r="166" spans="1:18" s="1" customFormat="1" x14ac:dyDescent="0.25">
      <c r="A166" s="27"/>
      <c r="B166" s="5"/>
      <c r="C166" s="5"/>
      <c r="D166" s="42" t="s">
        <v>826</v>
      </c>
      <c r="E166" s="42" t="s">
        <v>4</v>
      </c>
      <c r="F166" s="42" t="s">
        <v>822</v>
      </c>
      <c r="G166" s="42" t="s">
        <v>824</v>
      </c>
      <c r="H166" s="42" t="s">
        <v>702</v>
      </c>
      <c r="I166" s="5"/>
      <c r="J166" s="5"/>
      <c r="K166" s="5"/>
      <c r="L166" s="5"/>
      <c r="M166" s="5"/>
      <c r="N166" s="5"/>
      <c r="O166" s="5"/>
      <c r="P166" s="5"/>
      <c r="Q166" s="5"/>
      <c r="R166" s="5"/>
    </row>
    <row r="167" spans="1:18" s="1" customFormat="1" x14ac:dyDescent="0.25">
      <c r="A167" s="27"/>
      <c r="B167" s="5"/>
      <c r="C167" s="5"/>
      <c r="D167" s="42" t="s">
        <v>583</v>
      </c>
      <c r="E167" s="42" t="s">
        <v>212</v>
      </c>
      <c r="F167" s="42" t="s">
        <v>822</v>
      </c>
      <c r="G167" s="42" t="s">
        <v>824</v>
      </c>
      <c r="H167" s="42" t="s">
        <v>213</v>
      </c>
      <c r="I167" s="5"/>
      <c r="J167" s="5"/>
      <c r="K167" s="5"/>
      <c r="L167" s="5"/>
      <c r="M167" s="5"/>
      <c r="N167" s="5"/>
      <c r="O167" s="5"/>
      <c r="P167" s="5"/>
      <c r="Q167" s="5"/>
      <c r="R167" s="5"/>
    </row>
    <row r="168" spans="1:18" s="1" customFormat="1" x14ac:dyDescent="0.25">
      <c r="A168" s="27"/>
      <c r="B168" s="5"/>
      <c r="C168" s="5"/>
      <c r="D168" s="42" t="s">
        <v>966</v>
      </c>
      <c r="E168" s="42" t="s">
        <v>5</v>
      </c>
      <c r="F168" s="42" t="s">
        <v>822</v>
      </c>
      <c r="G168" s="42" t="s">
        <v>967</v>
      </c>
      <c r="H168" s="42"/>
      <c r="I168" s="5"/>
      <c r="J168" s="5"/>
      <c r="K168" s="5"/>
      <c r="L168" s="5"/>
      <c r="M168" s="5"/>
      <c r="N168" s="5"/>
      <c r="O168" s="5"/>
      <c r="P168" s="5"/>
      <c r="Q168" s="5"/>
      <c r="R168" s="5"/>
    </row>
    <row r="169" spans="1:18" s="1" customFormat="1" x14ac:dyDescent="0.25">
      <c r="A169" s="27"/>
      <c r="B169" s="5"/>
      <c r="C169" s="5"/>
      <c r="D169" s="42" t="s">
        <v>882</v>
      </c>
      <c r="E169" s="42" t="s">
        <v>5</v>
      </c>
      <c r="F169" s="42" t="s">
        <v>822</v>
      </c>
      <c r="G169" s="42" t="s">
        <v>875</v>
      </c>
      <c r="I169" s="5"/>
      <c r="J169" s="5"/>
      <c r="K169" s="5"/>
      <c r="L169" s="5"/>
      <c r="M169" s="5"/>
      <c r="N169" s="5"/>
      <c r="O169" s="5"/>
      <c r="P169" s="5"/>
      <c r="Q169" s="5"/>
      <c r="R169" s="5"/>
    </row>
    <row r="170" spans="1:18" s="1" customFormat="1" ht="28" x14ac:dyDescent="0.25">
      <c r="A170" s="27"/>
      <c r="B170" s="5"/>
      <c r="C170" s="5"/>
      <c r="D170" s="42" t="s">
        <v>883</v>
      </c>
      <c r="E170" s="42" t="s">
        <v>5</v>
      </c>
      <c r="F170" s="42" t="s">
        <v>822</v>
      </c>
      <c r="G170" s="42" t="s">
        <v>877</v>
      </c>
      <c r="I170" s="5"/>
      <c r="J170" s="5"/>
      <c r="K170" s="5"/>
      <c r="L170" s="5"/>
      <c r="M170" s="5"/>
      <c r="N170" s="5"/>
      <c r="O170" s="5"/>
      <c r="P170" s="5"/>
      <c r="Q170" s="5"/>
      <c r="R170" s="5"/>
    </row>
    <row r="171" spans="1:18" s="1" customFormat="1" ht="28" x14ac:dyDescent="0.25">
      <c r="A171" s="27"/>
      <c r="B171" s="5"/>
      <c r="C171" s="5"/>
      <c r="D171" s="42" t="s">
        <v>884</v>
      </c>
      <c r="E171" s="42" t="s">
        <v>5</v>
      </c>
      <c r="F171" s="42" t="s">
        <v>822</v>
      </c>
      <c r="G171" s="42" t="s">
        <v>879</v>
      </c>
      <c r="I171" s="5"/>
      <c r="J171" s="5"/>
      <c r="K171" s="5"/>
      <c r="L171" s="5"/>
      <c r="M171" s="5"/>
      <c r="N171" s="5"/>
      <c r="O171" s="5"/>
      <c r="P171" s="5"/>
      <c r="Q171" s="5"/>
      <c r="R171" s="5"/>
    </row>
    <row r="172" spans="1:18" s="1" customFormat="1" ht="28" x14ac:dyDescent="0.25">
      <c r="A172" s="27"/>
      <c r="B172" s="5"/>
      <c r="C172" s="5"/>
      <c r="D172" s="42" t="s">
        <v>905</v>
      </c>
      <c r="E172" s="42" t="s">
        <v>5</v>
      </c>
      <c r="F172" s="42" t="s">
        <v>822</v>
      </c>
      <c r="G172" s="42" t="s">
        <v>880</v>
      </c>
      <c r="I172" s="5"/>
      <c r="J172" s="5"/>
      <c r="K172" s="5"/>
      <c r="L172" s="5"/>
      <c r="M172" s="5"/>
      <c r="N172" s="5"/>
      <c r="O172" s="5"/>
      <c r="P172" s="5"/>
      <c r="Q172" s="5"/>
      <c r="R172" s="5"/>
    </row>
    <row r="173" spans="1:18" s="1" customFormat="1" ht="28" x14ac:dyDescent="0.25">
      <c r="A173" s="27"/>
      <c r="B173" s="5"/>
      <c r="C173" s="5"/>
      <c r="D173" s="42" t="s">
        <v>906</v>
      </c>
      <c r="E173" s="42" t="s">
        <v>5</v>
      </c>
      <c r="F173" s="42" t="s">
        <v>822</v>
      </c>
      <c r="G173" s="42" t="s">
        <v>886</v>
      </c>
      <c r="I173" s="5"/>
      <c r="J173" s="5"/>
      <c r="K173" s="5"/>
      <c r="L173" s="5"/>
      <c r="M173" s="5"/>
      <c r="N173" s="5"/>
      <c r="O173" s="5"/>
      <c r="P173" s="5"/>
      <c r="Q173" s="5"/>
      <c r="R173" s="5"/>
    </row>
    <row r="174" spans="1:18" s="1" customFormat="1" ht="28" x14ac:dyDescent="0.25">
      <c r="A174" s="27"/>
      <c r="B174" s="5"/>
      <c r="C174" s="5"/>
      <c r="D174" s="42" t="s">
        <v>913</v>
      </c>
      <c r="E174" s="42" t="s">
        <v>5</v>
      </c>
      <c r="F174" s="42" t="s">
        <v>822</v>
      </c>
      <c r="G174" s="42" t="s">
        <v>912</v>
      </c>
      <c r="I174" s="5"/>
      <c r="J174" s="5"/>
      <c r="K174" s="5"/>
      <c r="L174" s="5"/>
      <c r="M174" s="5"/>
      <c r="N174" s="5"/>
      <c r="O174" s="5"/>
      <c r="P174" s="5"/>
      <c r="Q174" s="5"/>
      <c r="R174" s="5"/>
    </row>
    <row r="175" spans="1:18" s="1" customFormat="1" ht="28" x14ac:dyDescent="0.25">
      <c r="A175" s="27"/>
      <c r="B175" s="5"/>
      <c r="C175" s="5"/>
      <c r="D175" s="42" t="s">
        <v>914</v>
      </c>
      <c r="E175" s="42" t="s">
        <v>5</v>
      </c>
      <c r="F175" s="42" t="s">
        <v>822</v>
      </c>
      <c r="G175" s="42" t="s">
        <v>898</v>
      </c>
      <c r="I175" s="5"/>
      <c r="J175" s="5"/>
      <c r="K175" s="5"/>
      <c r="L175" s="5"/>
      <c r="M175" s="5"/>
      <c r="N175" s="5"/>
      <c r="O175" s="5"/>
      <c r="P175" s="5"/>
      <c r="Q175" s="5"/>
      <c r="R175" s="5"/>
    </row>
    <row r="176" spans="1:18" s="1" customFormat="1" ht="28" x14ac:dyDescent="0.25">
      <c r="A176" s="27"/>
      <c r="B176" s="5"/>
      <c r="C176" s="5"/>
      <c r="D176" s="42" t="s">
        <v>909</v>
      </c>
      <c r="E176" s="42" t="s">
        <v>5</v>
      </c>
      <c r="F176" s="42" t="s">
        <v>822</v>
      </c>
      <c r="G176" s="42" t="s">
        <v>887</v>
      </c>
      <c r="I176" s="5"/>
      <c r="J176" s="5"/>
      <c r="K176" s="5"/>
      <c r="L176" s="5"/>
      <c r="M176" s="5"/>
      <c r="N176" s="5"/>
      <c r="O176" s="5"/>
      <c r="P176" s="5"/>
      <c r="Q176" s="5"/>
      <c r="R176" s="5"/>
    </row>
    <row r="177" spans="1:18" s="1" customFormat="1" ht="28" x14ac:dyDescent="0.25">
      <c r="A177" s="27"/>
      <c r="B177" s="5"/>
      <c r="C177" s="5"/>
      <c r="D177" s="42" t="s">
        <v>913</v>
      </c>
      <c r="E177" s="42" t="s">
        <v>5</v>
      </c>
      <c r="F177" s="42" t="s">
        <v>822</v>
      </c>
      <c r="G177" s="42" t="s">
        <v>912</v>
      </c>
      <c r="I177" s="5"/>
      <c r="J177" s="5"/>
      <c r="K177" s="5"/>
      <c r="L177" s="5"/>
      <c r="M177" s="5"/>
      <c r="N177" s="5"/>
      <c r="O177" s="5"/>
      <c r="P177" s="5"/>
      <c r="Q177" s="5"/>
      <c r="R177" s="5"/>
    </row>
    <row r="178" spans="1:18" s="1" customFormat="1" ht="28" x14ac:dyDescent="0.25">
      <c r="A178" s="27"/>
      <c r="B178" s="5"/>
      <c r="C178" s="5"/>
      <c r="D178" s="42" t="s">
        <v>914</v>
      </c>
      <c r="E178" s="42" t="s">
        <v>5</v>
      </c>
      <c r="F178" s="42" t="s">
        <v>822</v>
      </c>
      <c r="G178" s="42" t="s">
        <v>898</v>
      </c>
      <c r="I178" s="5"/>
      <c r="J178" s="5"/>
      <c r="K178" s="5"/>
      <c r="L178" s="5"/>
      <c r="M178" s="5"/>
      <c r="N178" s="5"/>
      <c r="O178" s="5"/>
      <c r="P178" s="5"/>
      <c r="Q178" s="5"/>
      <c r="R178" s="5"/>
    </row>
    <row r="179" spans="1:18" s="1" customFormat="1" ht="28" x14ac:dyDescent="0.25">
      <c r="A179" s="27"/>
      <c r="B179" s="5"/>
      <c r="C179" s="5"/>
      <c r="D179" s="42" t="s">
        <v>908</v>
      </c>
      <c r="E179" s="42" t="s">
        <v>5</v>
      </c>
      <c r="F179" s="42" t="s">
        <v>822</v>
      </c>
      <c r="G179" s="42" t="s">
        <v>888</v>
      </c>
      <c r="I179" s="5"/>
      <c r="J179" s="5"/>
      <c r="K179" s="5"/>
      <c r="L179" s="5"/>
      <c r="M179" s="5"/>
      <c r="N179" s="5"/>
      <c r="O179" s="5"/>
      <c r="P179" s="5"/>
      <c r="Q179" s="5"/>
      <c r="R179" s="5"/>
    </row>
    <row r="180" spans="1:18" s="1" customFormat="1" ht="28" x14ac:dyDescent="0.25">
      <c r="A180" s="27"/>
      <c r="B180" s="5"/>
      <c r="C180" s="5"/>
      <c r="D180" s="42" t="s">
        <v>913</v>
      </c>
      <c r="E180" s="42" t="s">
        <v>5</v>
      </c>
      <c r="F180" s="42" t="s">
        <v>822</v>
      </c>
      <c r="G180" s="42" t="s">
        <v>912</v>
      </c>
      <c r="I180" s="5"/>
      <c r="J180" s="5"/>
      <c r="K180" s="5"/>
      <c r="L180" s="5"/>
      <c r="M180" s="5"/>
      <c r="N180" s="5"/>
      <c r="O180" s="5"/>
      <c r="P180" s="5"/>
      <c r="Q180" s="5"/>
      <c r="R180" s="5"/>
    </row>
    <row r="181" spans="1:18" s="1" customFormat="1" ht="28" x14ac:dyDescent="0.25">
      <c r="A181" s="27"/>
      <c r="B181" s="5"/>
      <c r="C181" s="5"/>
      <c r="D181" s="42" t="s">
        <v>914</v>
      </c>
      <c r="E181" s="42" t="s">
        <v>5</v>
      </c>
      <c r="F181" s="42" t="s">
        <v>822</v>
      </c>
      <c r="G181" s="42" t="s">
        <v>898</v>
      </c>
      <c r="I181" s="5"/>
      <c r="J181" s="5"/>
      <c r="K181" s="5"/>
      <c r="L181" s="5"/>
      <c r="M181" s="5"/>
      <c r="N181" s="5"/>
      <c r="O181" s="5"/>
      <c r="P181" s="5"/>
      <c r="Q181" s="5"/>
      <c r="R181" s="5"/>
    </row>
    <row r="182" spans="1:18" s="1" customFormat="1" ht="28" x14ac:dyDescent="0.25">
      <c r="A182" s="27"/>
      <c r="B182" s="5"/>
      <c r="C182" s="5"/>
      <c r="D182" s="42" t="s">
        <v>907</v>
      </c>
      <c r="E182" s="42" t="s">
        <v>5</v>
      </c>
      <c r="F182" s="42" t="s">
        <v>822</v>
      </c>
      <c r="G182" s="42" t="s">
        <v>889</v>
      </c>
      <c r="I182" s="5"/>
      <c r="J182" s="5"/>
      <c r="K182" s="5"/>
      <c r="L182" s="5"/>
      <c r="M182" s="5"/>
      <c r="N182" s="5"/>
      <c r="O182" s="5"/>
      <c r="P182" s="5"/>
      <c r="Q182" s="5"/>
      <c r="R182" s="5"/>
    </row>
    <row r="183" spans="1:18" s="1" customFormat="1" ht="28" x14ac:dyDescent="0.25">
      <c r="A183" s="27"/>
      <c r="B183" s="5"/>
      <c r="C183" s="5"/>
      <c r="D183" s="42" t="s">
        <v>913</v>
      </c>
      <c r="E183" s="42" t="s">
        <v>5</v>
      </c>
      <c r="F183" s="42" t="s">
        <v>822</v>
      </c>
      <c r="G183" s="42" t="s">
        <v>912</v>
      </c>
      <c r="I183" s="5"/>
      <c r="J183" s="5"/>
      <c r="K183" s="5"/>
      <c r="L183" s="5"/>
      <c r="M183" s="5"/>
      <c r="N183" s="5"/>
      <c r="O183" s="5"/>
      <c r="P183" s="5"/>
      <c r="Q183" s="5"/>
      <c r="R183" s="5"/>
    </row>
    <row r="184" spans="1:18" s="1" customFormat="1" ht="28" x14ac:dyDescent="0.25">
      <c r="A184" s="27"/>
      <c r="B184" s="5"/>
      <c r="C184" s="5"/>
      <c r="D184" s="42" t="s">
        <v>914</v>
      </c>
      <c r="E184" s="42" t="s">
        <v>5</v>
      </c>
      <c r="F184" s="42" t="s">
        <v>822</v>
      </c>
      <c r="G184" s="42" t="s">
        <v>898</v>
      </c>
      <c r="I184" s="5"/>
      <c r="J184" s="5"/>
      <c r="K184" s="5"/>
      <c r="L184" s="5"/>
      <c r="M184" s="5"/>
      <c r="N184" s="5"/>
      <c r="O184" s="5"/>
      <c r="P184" s="5"/>
      <c r="Q184" s="5"/>
      <c r="R184" s="5"/>
    </row>
    <row r="185" spans="1:18" s="1" customFormat="1" ht="28" x14ac:dyDescent="0.25">
      <c r="A185" s="27">
        <v>1</v>
      </c>
      <c r="B185" s="42" t="s">
        <v>936</v>
      </c>
      <c r="C185" s="42" t="s">
        <v>926</v>
      </c>
      <c r="D185" s="42" t="s">
        <v>562</v>
      </c>
      <c r="E185" s="42" t="s">
        <v>15</v>
      </c>
      <c r="F185" s="42" t="s">
        <v>564</v>
      </c>
      <c r="G185" s="42"/>
      <c r="H185" s="76" t="s">
        <v>949</v>
      </c>
      <c r="I185" s="5"/>
      <c r="J185" s="5"/>
      <c r="K185" s="5"/>
      <c r="L185" s="5"/>
      <c r="M185" s="5"/>
      <c r="N185" s="5"/>
      <c r="O185" s="5"/>
      <c r="P185" s="5"/>
      <c r="Q185" s="5"/>
      <c r="R185" s="5"/>
    </row>
    <row r="186" spans="1:18" s="1" customFormat="1" x14ac:dyDescent="0.25">
      <c r="A186" s="27"/>
      <c r="B186" s="5"/>
      <c r="C186" s="5"/>
      <c r="D186" s="42" t="s">
        <v>567</v>
      </c>
      <c r="E186" s="42" t="s">
        <v>568</v>
      </c>
      <c r="F186" s="42" t="s">
        <v>564</v>
      </c>
      <c r="G186" s="42" t="s">
        <v>573</v>
      </c>
      <c r="H186" s="88"/>
      <c r="I186" s="5"/>
      <c r="J186" s="5"/>
      <c r="K186" s="5"/>
      <c r="L186" s="5"/>
      <c r="M186" s="5"/>
      <c r="N186" s="5"/>
      <c r="O186" s="5"/>
      <c r="P186" s="5"/>
      <c r="Q186" s="5"/>
      <c r="R186" s="5"/>
    </row>
    <row r="187" spans="1:18" s="1" customFormat="1" x14ac:dyDescent="0.25">
      <c r="A187" s="27"/>
      <c r="B187" s="5"/>
      <c r="C187" s="5"/>
      <c r="D187" s="42" t="s">
        <v>572</v>
      </c>
      <c r="E187" s="42" t="s">
        <v>5</v>
      </c>
      <c r="F187" s="42" t="s">
        <v>564</v>
      </c>
      <c r="G187" s="42" t="s">
        <v>574</v>
      </c>
      <c r="H187" s="88" t="s">
        <v>213</v>
      </c>
      <c r="I187" s="5"/>
      <c r="J187" s="5"/>
      <c r="K187" s="5"/>
      <c r="L187" s="5"/>
      <c r="M187" s="5"/>
      <c r="N187" s="5"/>
      <c r="O187" s="5"/>
      <c r="P187" s="5"/>
      <c r="Q187" s="5"/>
      <c r="R187" s="5"/>
    </row>
    <row r="188" spans="1:18" s="1" customFormat="1" x14ac:dyDescent="0.25">
      <c r="A188" s="27"/>
      <c r="B188" s="92"/>
      <c r="C188" s="92"/>
      <c r="D188" s="42" t="s">
        <v>927</v>
      </c>
      <c r="E188" s="42" t="s">
        <v>67</v>
      </c>
      <c r="F188" s="42" t="s">
        <v>587</v>
      </c>
      <c r="G188" s="95" t="s">
        <v>847</v>
      </c>
      <c r="H188" s="88" t="s">
        <v>930</v>
      </c>
      <c r="I188" s="5"/>
      <c r="J188" s="5"/>
      <c r="K188" s="5"/>
      <c r="L188" s="5"/>
      <c r="M188" s="5"/>
      <c r="N188" s="5"/>
      <c r="O188" s="5"/>
      <c r="P188" s="5"/>
      <c r="Q188" s="5"/>
      <c r="R188" s="5"/>
    </row>
    <row r="189" spans="1:18" s="1" customFormat="1" x14ac:dyDescent="0.25">
      <c r="A189" s="27"/>
      <c r="B189" s="92"/>
      <c r="C189" s="92"/>
      <c r="D189" s="42" t="s">
        <v>583</v>
      </c>
      <c r="E189" s="42" t="s">
        <v>212</v>
      </c>
      <c r="F189" s="42" t="s">
        <v>587</v>
      </c>
      <c r="G189" s="95" t="s">
        <v>847</v>
      </c>
      <c r="H189" s="42" t="s">
        <v>213</v>
      </c>
      <c r="I189" s="5"/>
      <c r="J189" s="5"/>
      <c r="K189" s="5"/>
      <c r="L189" s="5"/>
      <c r="M189" s="5"/>
      <c r="N189" s="5"/>
      <c r="O189" s="5"/>
      <c r="P189" s="5"/>
      <c r="Q189" s="5"/>
      <c r="R189" s="5"/>
    </row>
    <row r="190" spans="1:18" s="1" customFormat="1" ht="28" x14ac:dyDescent="0.25">
      <c r="A190" s="27">
        <v>1</v>
      </c>
      <c r="B190" s="42" t="s">
        <v>935</v>
      </c>
      <c r="C190" s="98" t="s">
        <v>933</v>
      </c>
      <c r="D190" s="42" t="s">
        <v>934</v>
      </c>
      <c r="E190" s="42" t="s">
        <v>9</v>
      </c>
      <c r="F190" s="42" t="s">
        <v>587</v>
      </c>
      <c r="G190" s="95" t="s">
        <v>932</v>
      </c>
      <c r="H190" s="42" t="s">
        <v>930</v>
      </c>
      <c r="I190" s="5"/>
      <c r="J190" s="5"/>
      <c r="K190" s="5"/>
      <c r="L190" s="5"/>
      <c r="M190" s="5"/>
      <c r="N190" s="5"/>
      <c r="O190" s="5"/>
      <c r="P190" s="5"/>
      <c r="Q190" s="5"/>
      <c r="R190" s="5"/>
    </row>
    <row r="191" spans="1:18" s="1" customFormat="1" ht="28" x14ac:dyDescent="0.25">
      <c r="A191" s="27">
        <v>0</v>
      </c>
      <c r="B191" s="42" t="s">
        <v>666</v>
      </c>
      <c r="C191" s="42" t="s">
        <v>919</v>
      </c>
      <c r="D191" s="42" t="s">
        <v>562</v>
      </c>
      <c r="E191" s="42" t="s">
        <v>15</v>
      </c>
      <c r="F191" s="42" t="s">
        <v>564</v>
      </c>
      <c r="G191" s="42"/>
      <c r="H191" s="76" t="s">
        <v>949</v>
      </c>
      <c r="I191" s="5"/>
      <c r="J191" s="5"/>
      <c r="K191" s="5"/>
      <c r="L191" s="5"/>
      <c r="M191" s="5"/>
      <c r="N191" s="5"/>
      <c r="O191" s="5"/>
      <c r="P191" s="5"/>
      <c r="Q191" s="5"/>
      <c r="R191" s="5"/>
    </row>
    <row r="192" spans="1:18" s="1" customFormat="1" x14ac:dyDescent="0.25">
      <c r="A192" s="27"/>
      <c r="B192" s="42"/>
      <c r="C192" s="42"/>
      <c r="D192" s="42" t="s">
        <v>578</v>
      </c>
      <c r="E192" s="42" t="s">
        <v>568</v>
      </c>
      <c r="F192" s="42" t="s">
        <v>564</v>
      </c>
      <c r="G192" s="42" t="s">
        <v>577</v>
      </c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</row>
    <row r="193" spans="1:18" s="1" customFormat="1" ht="28" x14ac:dyDescent="0.25">
      <c r="A193" s="27"/>
      <c r="B193" s="5"/>
      <c r="C193" s="5"/>
      <c r="D193" s="42" t="s">
        <v>977</v>
      </c>
      <c r="E193" s="42" t="s">
        <v>976</v>
      </c>
      <c r="F193" s="42" t="s">
        <v>564</v>
      </c>
      <c r="G193" s="42" t="s">
        <v>579</v>
      </c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</row>
    <row r="194" spans="1:18" s="1" customFormat="1" x14ac:dyDescent="0.25">
      <c r="A194" s="27"/>
      <c r="B194" s="42"/>
      <c r="C194" s="42"/>
      <c r="D194" s="42" t="s">
        <v>580</v>
      </c>
      <c r="E194" s="42" t="s">
        <v>5</v>
      </c>
      <c r="F194" s="42" t="s">
        <v>564</v>
      </c>
      <c r="G194" s="42" t="s">
        <v>579</v>
      </c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</row>
    <row r="195" spans="1:18" s="1" customFormat="1" x14ac:dyDescent="0.25">
      <c r="A195" s="27"/>
      <c r="B195" s="42"/>
      <c r="C195" s="42"/>
      <c r="D195" s="42" t="s">
        <v>581</v>
      </c>
      <c r="E195" s="42" t="s">
        <v>4</v>
      </c>
      <c r="F195" s="42" t="s">
        <v>564</v>
      </c>
      <c r="G195" s="42" t="s">
        <v>582</v>
      </c>
      <c r="H195" s="42" t="s">
        <v>779</v>
      </c>
      <c r="I195" s="5"/>
      <c r="J195" s="5"/>
      <c r="K195" s="5"/>
      <c r="L195" s="5"/>
      <c r="M195" s="5"/>
      <c r="N195" s="5"/>
      <c r="O195" s="5"/>
      <c r="P195" s="5"/>
      <c r="Q195" s="5"/>
      <c r="R195" s="5"/>
    </row>
    <row r="196" spans="1:18" s="1" customFormat="1" x14ac:dyDescent="0.25">
      <c r="A196" s="30"/>
      <c r="B196" s="30"/>
      <c r="C196" s="30"/>
      <c r="D196" s="42" t="s">
        <v>583</v>
      </c>
      <c r="E196" s="42" t="s">
        <v>212</v>
      </c>
      <c r="F196" s="42" t="s">
        <v>564</v>
      </c>
      <c r="G196" s="42" t="s">
        <v>582</v>
      </c>
      <c r="H196" s="42" t="s">
        <v>213</v>
      </c>
      <c r="I196" s="43"/>
      <c r="J196" s="43"/>
      <c r="K196" s="43"/>
      <c r="L196" s="5"/>
      <c r="M196" s="5"/>
      <c r="N196" s="5"/>
      <c r="O196" s="5"/>
      <c r="P196" s="5"/>
      <c r="Q196" s="5"/>
      <c r="R196" s="5"/>
    </row>
    <row r="197" spans="1:18" s="1" customFormat="1" x14ac:dyDescent="0.25">
      <c r="A197" s="27"/>
      <c r="B197" s="5"/>
      <c r="C197" s="42"/>
      <c r="D197" s="42" t="s">
        <v>610</v>
      </c>
      <c r="E197" s="42" t="s">
        <v>5</v>
      </c>
      <c r="F197" s="42" t="s">
        <v>564</v>
      </c>
      <c r="G197" s="42" t="s">
        <v>585</v>
      </c>
      <c r="H197" s="42"/>
      <c r="I197" s="5"/>
      <c r="J197" s="5"/>
      <c r="K197" s="5"/>
      <c r="L197" s="5"/>
      <c r="M197" s="5"/>
      <c r="N197" s="5"/>
      <c r="O197" s="5"/>
      <c r="P197" s="5"/>
      <c r="Q197" s="5"/>
      <c r="R197" s="5"/>
    </row>
    <row r="198" spans="1:18" s="1" customFormat="1" ht="14.25" customHeight="1" x14ac:dyDescent="0.25">
      <c r="A198" s="27"/>
      <c r="B198" s="5"/>
      <c r="C198" s="5"/>
      <c r="D198" s="42" t="s">
        <v>563</v>
      </c>
      <c r="E198" s="42" t="s">
        <v>5</v>
      </c>
      <c r="F198" s="42" t="s">
        <v>564</v>
      </c>
      <c r="G198" s="42" t="s">
        <v>586</v>
      </c>
      <c r="I198" s="5"/>
      <c r="J198" s="5"/>
      <c r="K198" s="5"/>
      <c r="L198" s="5"/>
      <c r="M198" s="5"/>
      <c r="N198" s="5"/>
      <c r="O198" s="5"/>
      <c r="P198" s="5"/>
      <c r="Q198" s="5"/>
      <c r="R198" s="5"/>
    </row>
    <row r="199" spans="1:18" s="1" customFormat="1" x14ac:dyDescent="0.25">
      <c r="A199" s="27"/>
      <c r="B199" s="5"/>
      <c r="C199" s="5"/>
      <c r="D199" s="42" t="s">
        <v>567</v>
      </c>
      <c r="E199" s="42" t="s">
        <v>568</v>
      </c>
      <c r="F199" s="42" t="s">
        <v>564</v>
      </c>
      <c r="G199" s="42" t="s">
        <v>573</v>
      </c>
      <c r="H199" s="88"/>
      <c r="I199" s="5"/>
      <c r="J199" s="5"/>
      <c r="K199" s="5"/>
      <c r="L199" s="5"/>
      <c r="M199" s="5"/>
      <c r="N199" s="5"/>
      <c r="O199" s="5"/>
      <c r="P199" s="5"/>
      <c r="Q199" s="5"/>
      <c r="R199" s="5"/>
    </row>
    <row r="200" spans="1:18" s="30" customFormat="1" x14ac:dyDescent="0.25">
      <c r="A200" s="27"/>
      <c r="B200" s="5"/>
      <c r="C200" s="5"/>
      <c r="D200" s="42" t="s">
        <v>572</v>
      </c>
      <c r="E200" s="42" t="s">
        <v>5</v>
      </c>
      <c r="F200" s="42" t="s">
        <v>564</v>
      </c>
      <c r="G200" s="42" t="s">
        <v>574</v>
      </c>
      <c r="H200" s="88" t="s">
        <v>584</v>
      </c>
      <c r="I200" s="29"/>
      <c r="J200" s="29"/>
      <c r="K200" s="29"/>
      <c r="L200" s="29"/>
      <c r="M200" s="29"/>
      <c r="N200" s="29"/>
      <c r="O200" s="29"/>
      <c r="P200" s="29"/>
      <c r="Q200" s="29"/>
      <c r="R200" s="29"/>
    </row>
    <row r="201" spans="1:18" s="1" customFormat="1" ht="28" x14ac:dyDescent="0.25">
      <c r="A201" s="27"/>
      <c r="B201" s="5"/>
      <c r="C201" s="5"/>
      <c r="D201" s="42" t="s">
        <v>594</v>
      </c>
      <c r="E201" s="42" t="s">
        <v>5</v>
      </c>
      <c r="F201" s="42" t="s">
        <v>587</v>
      </c>
      <c r="G201" s="95" t="s">
        <v>588</v>
      </c>
      <c r="I201" s="5"/>
      <c r="J201" s="5"/>
      <c r="K201" s="5"/>
      <c r="L201" s="5"/>
      <c r="M201" s="5"/>
      <c r="N201" s="5"/>
      <c r="O201" s="5"/>
      <c r="P201" s="5"/>
      <c r="Q201" s="5"/>
      <c r="R201" s="5"/>
    </row>
    <row r="202" spans="1:18" s="1" customFormat="1" ht="28" x14ac:dyDescent="0.25">
      <c r="A202" s="27"/>
      <c r="B202" s="92"/>
      <c r="C202" s="92"/>
      <c r="D202" s="42" t="s">
        <v>591</v>
      </c>
      <c r="E202" s="42" t="s">
        <v>806</v>
      </c>
      <c r="F202" s="42" t="s">
        <v>587</v>
      </c>
      <c r="G202" s="95" t="s">
        <v>591</v>
      </c>
      <c r="H202" s="42"/>
      <c r="I202" s="5"/>
      <c r="J202" s="5"/>
      <c r="K202" s="5"/>
      <c r="L202" s="5"/>
      <c r="M202" s="5"/>
      <c r="N202" s="5"/>
      <c r="O202" s="5"/>
      <c r="P202" s="5"/>
      <c r="Q202" s="5"/>
      <c r="R202" s="5"/>
    </row>
    <row r="203" spans="1:18" s="1" customFormat="1" x14ac:dyDescent="0.25">
      <c r="A203" s="27"/>
      <c r="B203" s="92"/>
      <c r="C203" s="92"/>
      <c r="D203" s="42" t="s">
        <v>591</v>
      </c>
      <c r="E203" s="42" t="s">
        <v>67</v>
      </c>
      <c r="F203" s="42" t="s">
        <v>587</v>
      </c>
      <c r="G203" s="116" t="s">
        <v>1036</v>
      </c>
      <c r="H203" s="42" t="s">
        <v>702</v>
      </c>
      <c r="I203" s="5"/>
      <c r="J203" s="5"/>
      <c r="K203" s="5"/>
      <c r="L203" s="5"/>
      <c r="M203" s="5"/>
      <c r="N203" s="5"/>
      <c r="O203" s="5"/>
      <c r="P203" s="5"/>
      <c r="Q203" s="5"/>
      <c r="R203" s="5"/>
    </row>
    <row r="204" spans="1:18" s="1" customFormat="1" x14ac:dyDescent="0.25">
      <c r="A204" s="27"/>
      <c r="B204" s="92"/>
      <c r="C204" s="92"/>
      <c r="D204" s="42" t="s">
        <v>591</v>
      </c>
      <c r="E204" s="42" t="s">
        <v>73</v>
      </c>
      <c r="F204" s="42" t="s">
        <v>587</v>
      </c>
      <c r="G204" s="116" t="s">
        <v>741</v>
      </c>
      <c r="H204" s="42"/>
      <c r="I204" s="5"/>
      <c r="J204" s="5"/>
      <c r="K204" s="5"/>
      <c r="L204" s="5"/>
      <c r="M204" s="5"/>
      <c r="N204" s="5"/>
      <c r="O204" s="5"/>
      <c r="P204" s="5"/>
      <c r="Q204" s="5"/>
      <c r="R204" s="5"/>
    </row>
    <row r="205" spans="1:18" s="1" customFormat="1" ht="28" x14ac:dyDescent="0.25">
      <c r="A205" s="27">
        <v>0</v>
      </c>
      <c r="B205" s="42" t="s">
        <v>745</v>
      </c>
      <c r="C205" s="42" t="s">
        <v>744</v>
      </c>
      <c r="D205" s="42" t="s">
        <v>597</v>
      </c>
      <c r="E205" s="42" t="s">
        <v>603</v>
      </c>
      <c r="F205" s="42" t="s">
        <v>587</v>
      </c>
      <c r="G205" s="95" t="s">
        <v>596</v>
      </c>
      <c r="H205" s="88" t="s">
        <v>844</v>
      </c>
      <c r="I205" s="5"/>
      <c r="J205" s="5"/>
      <c r="K205" s="5"/>
      <c r="L205" s="5"/>
      <c r="M205" s="5"/>
      <c r="N205" s="5"/>
      <c r="O205" s="5"/>
      <c r="P205" s="5"/>
      <c r="Q205" s="5"/>
      <c r="R205" s="5"/>
    </row>
    <row r="206" spans="1:18" s="1" customFormat="1" x14ac:dyDescent="0.25">
      <c r="A206" s="27">
        <v>0</v>
      </c>
      <c r="B206" s="42" t="s">
        <v>737</v>
      </c>
      <c r="C206" s="42" t="s">
        <v>736</v>
      </c>
      <c r="D206" s="42" t="s">
        <v>726</v>
      </c>
      <c r="E206" s="42" t="s">
        <v>131</v>
      </c>
      <c r="F206" s="42" t="s">
        <v>587</v>
      </c>
      <c r="G206" s="95" t="s">
        <v>730</v>
      </c>
      <c r="H206" s="88" t="s">
        <v>807</v>
      </c>
      <c r="I206" s="5"/>
      <c r="J206" s="5"/>
      <c r="K206" s="5"/>
      <c r="L206" s="5"/>
      <c r="M206" s="5"/>
      <c r="N206" s="5"/>
      <c r="O206" s="5"/>
      <c r="P206" s="5"/>
      <c r="Q206" s="5"/>
      <c r="R206" s="5"/>
    </row>
    <row r="207" spans="1:18" s="1" customFormat="1" ht="28" x14ac:dyDescent="0.25">
      <c r="A207" s="27">
        <v>0</v>
      </c>
      <c r="B207" s="42" t="s">
        <v>665</v>
      </c>
      <c r="C207" s="42" t="s">
        <v>920</v>
      </c>
      <c r="D207" s="42" t="s">
        <v>734</v>
      </c>
      <c r="E207" s="42" t="s">
        <v>5</v>
      </c>
      <c r="F207" s="42" t="s">
        <v>587</v>
      </c>
      <c r="G207" s="95" t="s">
        <v>732</v>
      </c>
      <c r="H207" s="88"/>
      <c r="I207" s="5"/>
      <c r="J207" s="5"/>
      <c r="K207" s="5"/>
      <c r="L207" s="5"/>
      <c r="M207" s="5"/>
      <c r="N207" s="5"/>
      <c r="O207" s="5"/>
      <c r="P207" s="5"/>
      <c r="Q207" s="5"/>
      <c r="R207" s="5"/>
    </row>
    <row r="208" spans="1:18" s="1" customFormat="1" x14ac:dyDescent="0.25">
      <c r="A208" s="27"/>
      <c r="D208" s="42" t="s">
        <v>735</v>
      </c>
      <c r="E208" s="42" t="s">
        <v>5</v>
      </c>
      <c r="F208" s="42" t="s">
        <v>587</v>
      </c>
      <c r="G208" s="95" t="s">
        <v>733</v>
      </c>
      <c r="H208" s="42"/>
      <c r="I208" s="5"/>
      <c r="J208" s="5"/>
      <c r="K208" s="5"/>
      <c r="L208" s="5"/>
      <c r="M208" s="5"/>
      <c r="N208" s="5"/>
      <c r="O208" s="5"/>
      <c r="P208" s="5"/>
      <c r="Q208" s="5"/>
      <c r="R208" s="5"/>
    </row>
    <row r="209" spans="1:18" s="1" customFormat="1" x14ac:dyDescent="0.25">
      <c r="A209" s="27"/>
      <c r="B209" s="42"/>
      <c r="C209" s="42"/>
      <c r="D209" s="42" t="s">
        <v>590</v>
      </c>
      <c r="E209" s="42" t="s">
        <v>49</v>
      </c>
      <c r="F209" s="42" t="s">
        <v>587</v>
      </c>
      <c r="G209" s="95" t="s">
        <v>590</v>
      </c>
      <c r="H209" s="66" t="s">
        <v>979</v>
      </c>
      <c r="I209" s="5"/>
      <c r="J209" s="5"/>
      <c r="K209" s="5"/>
      <c r="L209" s="5"/>
      <c r="M209" s="5"/>
      <c r="N209" s="5"/>
      <c r="O209" s="5"/>
      <c r="P209" s="5"/>
      <c r="Q209" s="5"/>
      <c r="R209" s="5"/>
    </row>
    <row r="210" spans="1:18" s="1" customFormat="1" x14ac:dyDescent="0.25">
      <c r="A210" s="27"/>
      <c r="B210" s="42"/>
      <c r="C210" s="42"/>
      <c r="D210" s="42" t="s">
        <v>852</v>
      </c>
      <c r="E210" s="42" t="s">
        <v>465</v>
      </c>
      <c r="F210" s="42" t="s">
        <v>587</v>
      </c>
      <c r="G210" s="95" t="s">
        <v>590</v>
      </c>
      <c r="H210" s="42" t="s">
        <v>853</v>
      </c>
      <c r="I210" s="5"/>
      <c r="J210" s="5"/>
      <c r="K210" s="5"/>
      <c r="L210" s="5"/>
      <c r="M210" s="5"/>
      <c r="N210" s="5"/>
      <c r="O210" s="5"/>
      <c r="P210" s="5"/>
      <c r="Q210" s="5"/>
      <c r="R210" s="5"/>
    </row>
    <row r="211" spans="1:18" s="1" customFormat="1" ht="28" x14ac:dyDescent="0.25">
      <c r="A211" s="27"/>
      <c r="B211" s="5"/>
      <c r="C211" s="5"/>
      <c r="D211" s="42" t="s">
        <v>742</v>
      </c>
      <c r="E211" s="42" t="s">
        <v>5</v>
      </c>
      <c r="F211" s="42" t="s">
        <v>587</v>
      </c>
      <c r="G211" s="95" t="s">
        <v>592</v>
      </c>
      <c r="H211" s="42"/>
      <c r="I211" s="5"/>
      <c r="J211" s="5"/>
      <c r="K211" s="5"/>
      <c r="L211" s="5"/>
      <c r="M211" s="5"/>
      <c r="N211" s="5"/>
      <c r="O211" s="5"/>
      <c r="P211" s="5"/>
      <c r="Q211" s="5"/>
      <c r="R211" s="5"/>
    </row>
    <row r="212" spans="1:18" s="1" customFormat="1" x14ac:dyDescent="0.25">
      <c r="A212" s="27"/>
      <c r="B212" s="5"/>
      <c r="C212" s="5"/>
      <c r="D212" s="42" t="s">
        <v>742</v>
      </c>
      <c r="E212" s="42" t="s">
        <v>4</v>
      </c>
      <c r="F212" s="42" t="s">
        <v>587</v>
      </c>
      <c r="G212" s="116" t="s">
        <v>1036</v>
      </c>
      <c r="H212" s="42" t="s">
        <v>983</v>
      </c>
      <c r="I212" s="5"/>
      <c r="J212" s="5"/>
      <c r="K212" s="5"/>
      <c r="L212" s="5"/>
      <c r="M212" s="5"/>
      <c r="N212" s="5"/>
      <c r="O212" s="5"/>
      <c r="P212" s="5"/>
      <c r="Q212" s="5"/>
      <c r="R212" s="5"/>
    </row>
    <row r="213" spans="1:18" s="1" customFormat="1" x14ac:dyDescent="0.25">
      <c r="A213" s="27"/>
      <c r="B213" s="5"/>
      <c r="C213" s="5"/>
      <c r="D213" s="42" t="s">
        <v>742</v>
      </c>
      <c r="E213" s="42" t="s">
        <v>5</v>
      </c>
      <c r="F213" s="42" t="s">
        <v>587</v>
      </c>
      <c r="G213" s="116" t="s">
        <v>741</v>
      </c>
      <c r="H213" s="42"/>
      <c r="I213" s="5"/>
      <c r="J213" s="5"/>
      <c r="K213" s="5"/>
      <c r="L213" s="5"/>
      <c r="M213" s="5"/>
      <c r="N213" s="5"/>
      <c r="O213" s="5"/>
      <c r="P213" s="5"/>
      <c r="Q213" s="5"/>
      <c r="R213" s="5"/>
    </row>
    <row r="214" spans="1:18" s="1" customFormat="1" ht="28" x14ac:dyDescent="0.25">
      <c r="A214" s="27">
        <v>0</v>
      </c>
      <c r="B214" s="42" t="s">
        <v>746</v>
      </c>
      <c r="C214" s="42" t="s">
        <v>744</v>
      </c>
      <c r="D214" s="42" t="s">
        <v>597</v>
      </c>
      <c r="E214" s="42" t="s">
        <v>773</v>
      </c>
      <c r="F214" s="42" t="s">
        <v>587</v>
      </c>
      <c r="G214" s="95" t="s">
        <v>596</v>
      </c>
      <c r="H214" s="88" t="s">
        <v>812</v>
      </c>
      <c r="I214" s="5"/>
      <c r="J214" s="5"/>
      <c r="K214" s="5"/>
      <c r="L214" s="5"/>
      <c r="M214" s="5"/>
      <c r="N214" s="5"/>
      <c r="O214" s="5"/>
      <c r="P214" s="5"/>
      <c r="Q214" s="5"/>
      <c r="R214" s="5"/>
    </row>
    <row r="215" spans="1:18" s="1" customFormat="1" ht="28" x14ac:dyDescent="0.25">
      <c r="A215" s="27"/>
      <c r="B215" s="5"/>
      <c r="C215" s="5"/>
      <c r="D215" s="42" t="s">
        <v>593</v>
      </c>
      <c r="E215" s="42" t="s">
        <v>5</v>
      </c>
      <c r="F215" s="42" t="s">
        <v>587</v>
      </c>
      <c r="G215" s="95" t="s">
        <v>593</v>
      </c>
      <c r="H215" s="66"/>
      <c r="I215" s="5"/>
      <c r="J215" s="5"/>
      <c r="K215" s="5"/>
      <c r="L215" s="5"/>
      <c r="M215" s="5"/>
      <c r="N215" s="5"/>
      <c r="O215" s="5"/>
      <c r="P215" s="5"/>
      <c r="Q215" s="5"/>
      <c r="R215" s="5"/>
    </row>
    <row r="216" spans="1:18" s="1" customFormat="1" x14ac:dyDescent="0.25">
      <c r="A216" s="27"/>
      <c r="B216" s="5"/>
      <c r="C216" s="5"/>
      <c r="D216" s="42" t="s">
        <v>593</v>
      </c>
      <c r="E216" s="42" t="s">
        <v>67</v>
      </c>
      <c r="F216" s="42" t="s">
        <v>587</v>
      </c>
      <c r="G216" s="116" t="s">
        <v>1037</v>
      </c>
      <c r="H216" s="66" t="s">
        <v>747</v>
      </c>
      <c r="I216" s="5"/>
      <c r="J216" s="5"/>
      <c r="K216" s="5"/>
      <c r="L216" s="5"/>
      <c r="M216" s="5"/>
      <c r="N216" s="5"/>
      <c r="O216" s="5"/>
      <c r="P216" s="5"/>
      <c r="Q216" s="5"/>
      <c r="R216" s="5"/>
    </row>
    <row r="217" spans="1:18" s="1" customFormat="1" x14ac:dyDescent="0.25">
      <c r="A217" s="27"/>
      <c r="B217" s="5"/>
      <c r="C217" s="5"/>
      <c r="D217" s="42" t="s">
        <v>593</v>
      </c>
      <c r="E217" s="42" t="s">
        <v>5</v>
      </c>
      <c r="F217" s="42" t="s">
        <v>587</v>
      </c>
      <c r="G217" s="116" t="s">
        <v>741</v>
      </c>
      <c r="H217" s="66"/>
      <c r="I217" s="5"/>
      <c r="J217" s="5"/>
      <c r="K217" s="5"/>
      <c r="L217" s="5"/>
      <c r="M217" s="5"/>
      <c r="N217" s="5"/>
      <c r="O217" s="5"/>
      <c r="P217" s="5"/>
      <c r="Q217" s="5"/>
      <c r="R217" s="5"/>
    </row>
    <row r="218" spans="1:18" s="1" customFormat="1" ht="28" x14ac:dyDescent="0.25">
      <c r="A218" s="27"/>
      <c r="B218" s="5"/>
      <c r="C218" s="5"/>
      <c r="D218" s="42" t="s">
        <v>598</v>
      </c>
      <c r="E218" s="5" t="s">
        <v>18</v>
      </c>
      <c r="F218" s="42" t="s">
        <v>587</v>
      </c>
      <c r="G218" s="95" t="s">
        <v>598</v>
      </c>
      <c r="H218" s="42"/>
      <c r="I218" s="5"/>
      <c r="J218" s="5"/>
      <c r="K218" s="5"/>
      <c r="L218" s="5"/>
      <c r="M218" s="5"/>
      <c r="N218" s="5"/>
      <c r="O218" s="5"/>
      <c r="P218" s="5"/>
      <c r="Q218" s="5"/>
      <c r="R218" s="5"/>
    </row>
    <row r="219" spans="1:18" s="30" customFormat="1" x14ac:dyDescent="0.25">
      <c r="A219" s="27"/>
      <c r="B219" s="5"/>
      <c r="C219" s="5"/>
      <c r="D219" s="42" t="s">
        <v>601</v>
      </c>
      <c r="E219" s="5" t="s">
        <v>4</v>
      </c>
      <c r="F219" s="42" t="s">
        <v>587</v>
      </c>
      <c r="G219" s="95" t="s">
        <v>600</v>
      </c>
      <c r="H219" s="42" t="s">
        <v>801</v>
      </c>
      <c r="I219" s="29"/>
      <c r="J219" s="29"/>
      <c r="K219" s="29"/>
      <c r="L219" s="29"/>
      <c r="M219" s="29"/>
      <c r="N219" s="29"/>
      <c r="O219" s="29"/>
      <c r="P219" s="29"/>
      <c r="Q219" s="29"/>
      <c r="R219" s="29"/>
    </row>
    <row r="220" spans="1:18" s="30" customFormat="1" x14ac:dyDescent="0.25">
      <c r="A220" s="27"/>
      <c r="B220" s="5"/>
      <c r="C220" s="5"/>
      <c r="D220" s="42" t="s">
        <v>815</v>
      </c>
      <c r="E220" s="42" t="s">
        <v>19</v>
      </c>
      <c r="F220" s="42"/>
      <c r="G220" s="96"/>
      <c r="H220" s="42"/>
      <c r="I220" s="94"/>
      <c r="J220" s="94"/>
      <c r="K220" s="94"/>
      <c r="L220" s="94"/>
      <c r="M220" s="94"/>
      <c r="N220" s="94"/>
      <c r="O220" s="94"/>
      <c r="P220" s="94"/>
      <c r="Q220" s="94"/>
      <c r="R220" s="94"/>
    </row>
    <row r="221" spans="1:18" s="30" customFormat="1" ht="28" x14ac:dyDescent="0.25">
      <c r="A221" s="27"/>
      <c r="B221" s="5"/>
      <c r="C221" s="5"/>
      <c r="D221" s="42" t="s">
        <v>814</v>
      </c>
      <c r="E221" s="42" t="s">
        <v>813</v>
      </c>
      <c r="F221" s="42" t="s">
        <v>587</v>
      </c>
      <c r="G221" s="97" t="s">
        <v>749</v>
      </c>
      <c r="H221" s="42"/>
      <c r="I221" s="94"/>
      <c r="J221" s="94"/>
      <c r="K221" s="94"/>
      <c r="L221" s="94"/>
      <c r="M221" s="94"/>
      <c r="N221" s="94"/>
      <c r="O221" s="94"/>
      <c r="P221" s="94"/>
      <c r="Q221" s="94"/>
      <c r="R221" s="94"/>
    </row>
    <row r="222" spans="1:18" ht="28" x14ac:dyDescent="0.25">
      <c r="A222" s="27"/>
      <c r="B222" s="5"/>
      <c r="C222" s="5"/>
      <c r="D222" s="42" t="s">
        <v>752</v>
      </c>
      <c r="E222" s="42" t="s">
        <v>5</v>
      </c>
      <c r="F222" s="42" t="s">
        <v>587</v>
      </c>
      <c r="G222" s="97" t="s">
        <v>751</v>
      </c>
      <c r="H222" s="31"/>
    </row>
    <row r="223" spans="1:18" x14ac:dyDescent="0.25">
      <c r="A223" s="27"/>
      <c r="B223" s="5"/>
      <c r="C223" s="5"/>
      <c r="D223" s="42" t="s">
        <v>752</v>
      </c>
      <c r="E223" s="5" t="s">
        <v>4</v>
      </c>
      <c r="F223" s="42" t="s">
        <v>564</v>
      </c>
      <c r="G223" s="42" t="s">
        <v>582</v>
      </c>
      <c r="H223" s="66" t="s">
        <v>753</v>
      </c>
    </row>
    <row r="224" spans="1:18" s="1" customFormat="1" x14ac:dyDescent="0.25">
      <c r="A224" s="27"/>
      <c r="B224" s="5"/>
      <c r="C224" s="5"/>
      <c r="D224" s="42" t="s">
        <v>583</v>
      </c>
      <c r="E224" s="42" t="s">
        <v>212</v>
      </c>
      <c r="F224" s="42" t="s">
        <v>564</v>
      </c>
      <c r="G224" s="42" t="s">
        <v>582</v>
      </c>
      <c r="H224" s="42" t="s">
        <v>213</v>
      </c>
      <c r="I224" s="5"/>
      <c r="J224" s="5"/>
      <c r="K224" s="5"/>
      <c r="L224" s="5"/>
      <c r="M224" s="5"/>
      <c r="N224" s="5"/>
      <c r="O224" s="5"/>
      <c r="P224" s="5"/>
      <c r="Q224" s="5"/>
      <c r="R224" s="5"/>
    </row>
    <row r="225" spans="1:18" x14ac:dyDescent="0.25">
      <c r="A225" s="27"/>
      <c r="B225" s="5"/>
      <c r="C225" s="5"/>
      <c r="D225" s="42" t="s">
        <v>752</v>
      </c>
      <c r="E225" s="42" t="s">
        <v>5</v>
      </c>
      <c r="F225" s="42" t="s">
        <v>564</v>
      </c>
      <c r="G225" s="42" t="s">
        <v>585</v>
      </c>
      <c r="H225" s="42"/>
    </row>
    <row r="226" spans="1:18" x14ac:dyDescent="0.25">
      <c r="A226" s="27"/>
      <c r="B226" s="5"/>
      <c r="C226" s="5"/>
      <c r="D226" s="42" t="s">
        <v>752</v>
      </c>
      <c r="E226" s="42" t="s">
        <v>5</v>
      </c>
      <c r="F226" s="42" t="s">
        <v>564</v>
      </c>
      <c r="G226" s="42" t="s">
        <v>586</v>
      </c>
      <c r="H226" s="42"/>
    </row>
    <row r="227" spans="1:18" ht="28" x14ac:dyDescent="0.25">
      <c r="A227" s="27"/>
      <c r="B227" s="5"/>
      <c r="C227" s="5"/>
      <c r="D227" s="42" t="s">
        <v>754</v>
      </c>
      <c r="E227" s="42" t="s">
        <v>5</v>
      </c>
      <c r="F227" s="42" t="s">
        <v>587</v>
      </c>
      <c r="G227" s="97" t="s">
        <v>759</v>
      </c>
      <c r="H227" s="31"/>
    </row>
    <row r="228" spans="1:18" x14ac:dyDescent="0.25">
      <c r="A228" s="27"/>
      <c r="B228" s="5"/>
      <c r="C228" s="5"/>
      <c r="D228" s="42" t="s">
        <v>754</v>
      </c>
      <c r="E228" s="5" t="s">
        <v>4</v>
      </c>
      <c r="F228" s="42" t="s">
        <v>564</v>
      </c>
      <c r="G228" s="42" t="s">
        <v>582</v>
      </c>
      <c r="H228" s="66" t="s">
        <v>770</v>
      </c>
    </row>
    <row r="229" spans="1:18" s="1" customFormat="1" x14ac:dyDescent="0.25">
      <c r="A229" s="27"/>
      <c r="B229" s="5"/>
      <c r="C229" s="5"/>
      <c r="D229" s="42" t="s">
        <v>583</v>
      </c>
      <c r="E229" s="42" t="s">
        <v>212</v>
      </c>
      <c r="F229" s="42" t="s">
        <v>564</v>
      </c>
      <c r="G229" s="42" t="s">
        <v>582</v>
      </c>
      <c r="H229" s="42" t="s">
        <v>213</v>
      </c>
      <c r="I229" s="5"/>
      <c r="J229" s="5"/>
      <c r="K229" s="5"/>
      <c r="L229" s="5"/>
      <c r="M229" s="5"/>
      <c r="N229" s="5"/>
      <c r="O229" s="5"/>
      <c r="P229" s="5"/>
      <c r="Q229" s="5"/>
      <c r="R229" s="5"/>
    </row>
    <row r="230" spans="1:18" x14ac:dyDescent="0.25">
      <c r="A230" s="27"/>
      <c r="B230" s="42"/>
      <c r="C230" s="5"/>
      <c r="D230" s="42" t="s">
        <v>754</v>
      </c>
      <c r="E230" s="42" t="s">
        <v>5</v>
      </c>
      <c r="F230" s="42" t="s">
        <v>564</v>
      </c>
      <c r="G230" s="42" t="s">
        <v>585</v>
      </c>
      <c r="H230" s="42"/>
    </row>
    <row r="231" spans="1:18" x14ac:dyDescent="0.25">
      <c r="A231" s="27"/>
      <c r="B231" s="42"/>
      <c r="C231" s="42"/>
      <c r="D231" s="42" t="s">
        <v>754</v>
      </c>
      <c r="E231" s="42" t="s">
        <v>5</v>
      </c>
      <c r="F231" s="42" t="s">
        <v>564</v>
      </c>
      <c r="G231" s="42" t="s">
        <v>586</v>
      </c>
      <c r="H231" s="42"/>
    </row>
    <row r="232" spans="1:18" ht="28" x14ac:dyDescent="0.25">
      <c r="A232" s="27"/>
      <c r="B232" s="5"/>
      <c r="C232" s="5"/>
      <c r="D232" s="42" t="s">
        <v>755</v>
      </c>
      <c r="E232" s="42" t="s">
        <v>5</v>
      </c>
      <c r="F232" s="42" t="s">
        <v>587</v>
      </c>
      <c r="G232" s="97" t="s">
        <v>758</v>
      </c>
      <c r="H232" s="31"/>
    </row>
    <row r="233" spans="1:18" x14ac:dyDescent="0.25">
      <c r="A233" s="27"/>
      <c r="B233" s="5"/>
      <c r="C233" s="5"/>
      <c r="D233" s="42" t="s">
        <v>755</v>
      </c>
      <c r="E233" s="5" t="s">
        <v>4</v>
      </c>
      <c r="F233" s="42" t="s">
        <v>564</v>
      </c>
      <c r="G233" s="42" t="s">
        <v>582</v>
      </c>
      <c r="H233" s="66" t="s">
        <v>771</v>
      </c>
    </row>
    <row r="234" spans="1:18" s="1" customFormat="1" x14ac:dyDescent="0.25">
      <c r="A234" s="27"/>
      <c r="B234" s="5"/>
      <c r="C234" s="5"/>
      <c r="D234" s="42" t="s">
        <v>583</v>
      </c>
      <c r="E234" s="42" t="s">
        <v>212</v>
      </c>
      <c r="F234" s="42" t="s">
        <v>564</v>
      </c>
      <c r="G234" s="42" t="s">
        <v>582</v>
      </c>
      <c r="H234" s="42" t="s">
        <v>213</v>
      </c>
      <c r="I234" s="5"/>
      <c r="J234" s="5"/>
      <c r="K234" s="5"/>
      <c r="L234" s="5"/>
      <c r="M234" s="5"/>
      <c r="N234" s="5"/>
      <c r="O234" s="5"/>
      <c r="P234" s="5"/>
      <c r="Q234" s="5"/>
      <c r="R234" s="5"/>
    </row>
    <row r="235" spans="1:18" x14ac:dyDescent="0.25">
      <c r="A235" s="27"/>
      <c r="B235" s="42"/>
      <c r="C235" s="42"/>
      <c r="D235" s="42" t="s">
        <v>755</v>
      </c>
      <c r="E235" s="42" t="s">
        <v>5</v>
      </c>
      <c r="F235" s="42" t="s">
        <v>564</v>
      </c>
      <c r="G235" s="42" t="s">
        <v>585</v>
      </c>
      <c r="H235" s="42"/>
    </row>
    <row r="236" spans="1:18" x14ac:dyDescent="0.25">
      <c r="A236" s="27"/>
      <c r="B236" s="5"/>
      <c r="C236" s="5"/>
      <c r="D236" s="42" t="s">
        <v>755</v>
      </c>
      <c r="E236" s="42" t="s">
        <v>5</v>
      </c>
      <c r="F236" s="42" t="s">
        <v>564</v>
      </c>
      <c r="G236" s="42" t="s">
        <v>586</v>
      </c>
      <c r="H236" s="42"/>
    </row>
    <row r="237" spans="1:18" ht="28" x14ac:dyDescent="0.25">
      <c r="A237" s="27"/>
      <c r="B237" s="5"/>
      <c r="C237" s="5"/>
      <c r="D237" s="42" t="s">
        <v>756</v>
      </c>
      <c r="E237" s="42" t="s">
        <v>5</v>
      </c>
      <c r="F237" s="42" t="s">
        <v>587</v>
      </c>
      <c r="G237" s="97" t="s">
        <v>757</v>
      </c>
      <c r="H237" s="31"/>
    </row>
    <row r="238" spans="1:18" x14ac:dyDescent="0.25">
      <c r="A238" s="27"/>
      <c r="B238" s="5"/>
      <c r="C238" s="5"/>
      <c r="D238" s="42" t="s">
        <v>756</v>
      </c>
      <c r="E238" s="5" t="s">
        <v>4</v>
      </c>
      <c r="F238" s="42" t="s">
        <v>564</v>
      </c>
      <c r="G238" s="42" t="s">
        <v>582</v>
      </c>
      <c r="H238" s="66" t="s">
        <v>772</v>
      </c>
    </row>
    <row r="239" spans="1:18" s="1" customFormat="1" x14ac:dyDescent="0.25">
      <c r="A239" s="27"/>
      <c r="B239" s="5"/>
      <c r="C239" s="5"/>
      <c r="D239" s="42" t="s">
        <v>583</v>
      </c>
      <c r="E239" s="42" t="s">
        <v>212</v>
      </c>
      <c r="F239" s="42" t="s">
        <v>564</v>
      </c>
      <c r="G239" s="42" t="s">
        <v>582</v>
      </c>
      <c r="H239" s="42" t="s">
        <v>213</v>
      </c>
      <c r="I239" s="5"/>
      <c r="J239" s="5"/>
      <c r="K239" s="5"/>
      <c r="L239" s="5"/>
      <c r="M239" s="5"/>
      <c r="N239" s="5"/>
      <c r="O239" s="5"/>
      <c r="P239" s="5"/>
      <c r="Q239" s="5"/>
      <c r="R239" s="5"/>
    </row>
    <row r="240" spans="1:18" ht="15" customHeight="1" x14ac:dyDescent="0.25">
      <c r="A240" s="27"/>
      <c r="B240" s="5"/>
      <c r="C240" s="5"/>
      <c r="D240" s="42" t="s">
        <v>756</v>
      </c>
      <c r="E240" s="42" t="s">
        <v>5</v>
      </c>
      <c r="F240" s="42" t="s">
        <v>564</v>
      </c>
      <c r="G240" s="42" t="s">
        <v>585</v>
      </c>
      <c r="H240" s="42"/>
    </row>
    <row r="241" spans="1:18" x14ac:dyDescent="0.25">
      <c r="A241" s="27"/>
      <c r="B241" s="5"/>
      <c r="C241" s="5"/>
      <c r="D241" s="42" t="s">
        <v>756</v>
      </c>
      <c r="E241" s="42" t="s">
        <v>5</v>
      </c>
      <c r="F241" s="42" t="s">
        <v>564</v>
      </c>
      <c r="G241" s="42" t="s">
        <v>586</v>
      </c>
      <c r="H241" s="42"/>
    </row>
    <row r="242" spans="1:18" ht="28" x14ac:dyDescent="0.25">
      <c r="A242" s="27">
        <v>0</v>
      </c>
      <c r="B242" s="42" t="s">
        <v>860</v>
      </c>
      <c r="C242" s="42" t="s">
        <v>845</v>
      </c>
      <c r="D242" s="42" t="s">
        <v>764</v>
      </c>
      <c r="E242" s="42" t="s">
        <v>5</v>
      </c>
      <c r="F242" s="42" t="s">
        <v>587</v>
      </c>
      <c r="G242" s="95" t="s">
        <v>763</v>
      </c>
      <c r="H242" s="66"/>
    </row>
    <row r="243" spans="1:18" ht="28" x14ac:dyDescent="0.25">
      <c r="D243" s="42" t="s">
        <v>767</v>
      </c>
      <c r="E243" s="42" t="s">
        <v>765</v>
      </c>
      <c r="F243" s="42" t="s">
        <v>587</v>
      </c>
      <c r="G243" s="95" t="s">
        <v>768</v>
      </c>
      <c r="H243" s="42" t="s">
        <v>766</v>
      </c>
    </row>
    <row r="244" spans="1:18" ht="28" x14ac:dyDescent="0.25">
      <c r="D244" s="42" t="s">
        <v>843</v>
      </c>
      <c r="E244" s="42" t="s">
        <v>351</v>
      </c>
      <c r="F244" s="42"/>
      <c r="G244" s="95"/>
      <c r="H244" s="65">
        <v>2</v>
      </c>
    </row>
    <row r="245" spans="1:18" ht="28" x14ac:dyDescent="0.25">
      <c r="A245" s="27">
        <v>0</v>
      </c>
      <c r="B245" s="42" t="s">
        <v>783</v>
      </c>
      <c r="C245" s="42" t="s">
        <v>782</v>
      </c>
      <c r="D245" s="42"/>
      <c r="E245" s="42" t="s">
        <v>833</v>
      </c>
      <c r="F245" s="42"/>
      <c r="G245" s="95"/>
      <c r="H245" s="65">
        <v>2</v>
      </c>
    </row>
    <row r="246" spans="1:18" ht="28" x14ac:dyDescent="0.25">
      <c r="A246" s="27"/>
      <c r="B246" s="42"/>
      <c r="C246" s="42"/>
      <c r="D246" s="42" t="s">
        <v>780</v>
      </c>
      <c r="E246" s="42" t="s">
        <v>781</v>
      </c>
      <c r="F246" s="42" t="s">
        <v>587</v>
      </c>
      <c r="G246" s="95" t="s">
        <v>785</v>
      </c>
      <c r="H246" s="42" t="s">
        <v>784</v>
      </c>
    </row>
    <row r="247" spans="1:18" s="1" customFormat="1" ht="28" x14ac:dyDescent="0.25">
      <c r="A247" s="27"/>
      <c r="B247" s="5"/>
      <c r="C247" s="5"/>
      <c r="D247" s="42" t="s">
        <v>598</v>
      </c>
      <c r="E247" s="5" t="s">
        <v>18</v>
      </c>
      <c r="F247" s="42" t="s">
        <v>587</v>
      </c>
      <c r="G247" s="95" t="s">
        <v>834</v>
      </c>
      <c r="H247" s="42"/>
      <c r="I247" s="5"/>
      <c r="J247" s="5"/>
      <c r="K247" s="5"/>
      <c r="L247" s="5"/>
      <c r="M247" s="5"/>
      <c r="N247" s="5"/>
      <c r="O247" s="5"/>
      <c r="P247" s="5"/>
      <c r="Q247" s="5"/>
      <c r="R247" s="5"/>
    </row>
    <row r="248" spans="1:18" s="1" customFormat="1" ht="28" x14ac:dyDescent="0.25">
      <c r="A248" s="27"/>
      <c r="B248" s="5"/>
      <c r="C248" s="5"/>
      <c r="D248" s="42" t="s">
        <v>838</v>
      </c>
      <c r="E248" s="42" t="s">
        <v>528</v>
      </c>
      <c r="F248" s="42" t="s">
        <v>587</v>
      </c>
      <c r="G248" s="95" t="s">
        <v>788</v>
      </c>
      <c r="H248" s="65">
        <v>1</v>
      </c>
      <c r="I248" s="92"/>
      <c r="J248" s="92"/>
      <c r="K248" s="92"/>
      <c r="L248" s="92"/>
      <c r="M248" s="92"/>
      <c r="N248" s="92"/>
      <c r="O248" s="92"/>
      <c r="P248" s="92"/>
      <c r="Q248" s="92"/>
      <c r="R248" s="92"/>
    </row>
    <row r="249" spans="1:18" x14ac:dyDescent="0.25">
      <c r="A249" s="27"/>
      <c r="B249" s="42"/>
      <c r="C249" s="42"/>
      <c r="D249" s="42" t="s">
        <v>790</v>
      </c>
      <c r="E249" s="42" t="s">
        <v>5</v>
      </c>
      <c r="F249" s="42" t="s">
        <v>587</v>
      </c>
      <c r="G249" s="95" t="s">
        <v>840</v>
      </c>
      <c r="H249" s="42"/>
    </row>
    <row r="250" spans="1:18" x14ac:dyDescent="0.25">
      <c r="A250" s="27"/>
      <c r="B250" s="42"/>
      <c r="C250" s="42"/>
      <c r="D250" s="42" t="s">
        <v>815</v>
      </c>
      <c r="E250" s="42" t="s">
        <v>19</v>
      </c>
      <c r="F250" s="42"/>
      <c r="G250" s="95"/>
      <c r="H250" s="42"/>
    </row>
    <row r="251" spans="1:18" x14ac:dyDescent="0.25">
      <c r="A251" s="27"/>
      <c r="B251" s="42"/>
      <c r="C251" s="42"/>
      <c r="D251" s="42" t="s">
        <v>791</v>
      </c>
      <c r="E251" s="42" t="s">
        <v>5</v>
      </c>
      <c r="F251" s="42" t="s">
        <v>587</v>
      </c>
      <c r="G251" s="95" t="s">
        <v>793</v>
      </c>
      <c r="H251" s="42"/>
    </row>
    <row r="252" spans="1:18" ht="28" x14ac:dyDescent="0.25">
      <c r="A252" s="27">
        <v>0</v>
      </c>
      <c r="B252" s="42" t="s">
        <v>795</v>
      </c>
      <c r="C252" s="42" t="s">
        <v>794</v>
      </c>
      <c r="D252" s="42" t="s">
        <v>842</v>
      </c>
      <c r="E252" s="42" t="s">
        <v>781</v>
      </c>
      <c r="F252" s="42" t="s">
        <v>587</v>
      </c>
      <c r="G252" s="95" t="s">
        <v>792</v>
      </c>
      <c r="H252" s="42" t="s">
        <v>796</v>
      </c>
    </row>
    <row r="253" spans="1:18" ht="28" x14ac:dyDescent="0.25">
      <c r="A253" s="27"/>
      <c r="B253" s="42"/>
      <c r="C253" s="42"/>
      <c r="D253" s="42" t="s">
        <v>799</v>
      </c>
      <c r="E253" s="42" t="s">
        <v>800</v>
      </c>
      <c r="F253" s="42"/>
      <c r="G253" s="95"/>
      <c r="H253" s="42"/>
    </row>
    <row r="254" spans="1:18" ht="28" x14ac:dyDescent="0.25">
      <c r="A254" s="27">
        <v>0</v>
      </c>
      <c r="B254" s="42" t="s">
        <v>778</v>
      </c>
      <c r="C254" s="42" t="s">
        <v>775</v>
      </c>
      <c r="D254" s="42" t="s">
        <v>776</v>
      </c>
      <c r="E254" s="42" t="s">
        <v>773</v>
      </c>
      <c r="F254" s="42" t="s">
        <v>587</v>
      </c>
      <c r="G254" s="95" t="s">
        <v>786</v>
      </c>
      <c r="H254" s="66" t="s">
        <v>1018</v>
      </c>
    </row>
    <row r="255" spans="1:18" x14ac:dyDescent="0.25">
      <c r="A255" s="42"/>
      <c r="B255" s="42"/>
      <c r="C255" s="42"/>
      <c r="D255" s="42" t="s">
        <v>803</v>
      </c>
      <c r="E255" s="42" t="s">
        <v>5</v>
      </c>
      <c r="F255" s="42" t="s">
        <v>587</v>
      </c>
      <c r="G255" s="95" t="s">
        <v>802</v>
      </c>
      <c r="H255" s="42"/>
    </row>
    <row r="256" spans="1:18" ht="28" x14ac:dyDescent="0.25">
      <c r="A256" s="27">
        <v>0</v>
      </c>
      <c r="B256" s="42" t="s">
        <v>1012</v>
      </c>
      <c r="C256" s="42" t="s">
        <v>1011</v>
      </c>
      <c r="D256" s="42" t="s">
        <v>562</v>
      </c>
      <c r="E256" s="42" t="s">
        <v>15</v>
      </c>
      <c r="F256" s="42" t="s">
        <v>564</v>
      </c>
      <c r="G256" s="42"/>
      <c r="H256" s="76" t="s">
        <v>949</v>
      </c>
    </row>
    <row r="257" spans="1:8" x14ac:dyDescent="0.25">
      <c r="A257" s="27"/>
      <c r="B257" s="42"/>
      <c r="C257" s="42"/>
      <c r="D257" s="42" t="s">
        <v>578</v>
      </c>
      <c r="E257" s="42" t="s">
        <v>568</v>
      </c>
      <c r="F257" s="42" t="s">
        <v>564</v>
      </c>
      <c r="G257" s="42" t="s">
        <v>577</v>
      </c>
      <c r="H257" s="5"/>
    </row>
    <row r="258" spans="1:8" x14ac:dyDescent="0.25">
      <c r="A258" s="27"/>
      <c r="B258" s="42"/>
      <c r="C258" s="42"/>
      <c r="D258" s="42" t="s">
        <v>580</v>
      </c>
      <c r="E258" s="42" t="s">
        <v>5</v>
      </c>
      <c r="F258" s="42" t="s">
        <v>564</v>
      </c>
      <c r="G258" s="42" t="s">
        <v>579</v>
      </c>
      <c r="H258" s="5"/>
    </row>
    <row r="259" spans="1:8" x14ac:dyDescent="0.25">
      <c r="A259" s="27"/>
      <c r="B259" s="42"/>
      <c r="C259" s="42"/>
      <c r="D259" s="42" t="s">
        <v>581</v>
      </c>
      <c r="E259" s="42" t="s">
        <v>4</v>
      </c>
      <c r="F259" s="42" t="s">
        <v>564</v>
      </c>
      <c r="G259" s="42" t="s">
        <v>582</v>
      </c>
      <c r="H259" s="42" t="s">
        <v>609</v>
      </c>
    </row>
    <row r="260" spans="1:8" x14ac:dyDescent="0.25">
      <c r="A260" s="30"/>
      <c r="B260" s="30"/>
      <c r="C260" s="30"/>
      <c r="D260" s="42" t="s">
        <v>583</v>
      </c>
      <c r="E260" s="42" t="s">
        <v>212</v>
      </c>
      <c r="F260" s="42" t="s">
        <v>564</v>
      </c>
      <c r="G260" s="42" t="s">
        <v>582</v>
      </c>
      <c r="H260" s="42" t="s">
        <v>213</v>
      </c>
    </row>
    <row r="261" spans="1:8" x14ac:dyDescent="0.25">
      <c r="A261" s="27"/>
      <c r="B261" s="5"/>
      <c r="C261" s="42"/>
      <c r="D261" s="42" t="s">
        <v>610</v>
      </c>
      <c r="E261" s="42" t="s">
        <v>5</v>
      </c>
      <c r="F261" s="42" t="s">
        <v>564</v>
      </c>
      <c r="G261" s="42" t="s">
        <v>585</v>
      </c>
      <c r="H261" s="42"/>
    </row>
    <row r="262" spans="1:8" x14ac:dyDescent="0.25">
      <c r="A262" s="27"/>
      <c r="B262" s="5"/>
      <c r="C262" s="5"/>
      <c r="D262" s="42" t="s">
        <v>563</v>
      </c>
      <c r="E262" s="42" t="s">
        <v>5</v>
      </c>
      <c r="F262" s="42" t="s">
        <v>564</v>
      </c>
      <c r="G262" s="42" t="s">
        <v>586</v>
      </c>
      <c r="H262" s="1"/>
    </row>
    <row r="263" spans="1:8" x14ac:dyDescent="0.25">
      <c r="A263" s="27"/>
      <c r="B263" s="5"/>
      <c r="C263" s="5"/>
      <c r="D263" s="42" t="s">
        <v>567</v>
      </c>
      <c r="E263" s="42" t="s">
        <v>568</v>
      </c>
      <c r="F263" s="42" t="s">
        <v>564</v>
      </c>
      <c r="G263" s="42" t="s">
        <v>573</v>
      </c>
      <c r="H263" s="88"/>
    </row>
    <row r="264" spans="1:8" x14ac:dyDescent="0.25">
      <c r="A264" s="27"/>
      <c r="B264" s="5"/>
      <c r="C264" s="5"/>
      <c r="D264" s="42" t="s">
        <v>572</v>
      </c>
      <c r="E264" s="42" t="s">
        <v>5</v>
      </c>
      <c r="F264" s="42" t="s">
        <v>564</v>
      </c>
      <c r="G264" s="42" t="s">
        <v>574</v>
      </c>
      <c r="H264" s="88" t="s">
        <v>213</v>
      </c>
    </row>
    <row r="265" spans="1:8" x14ac:dyDescent="0.25">
      <c r="A265" s="42"/>
      <c r="B265" s="42"/>
      <c r="C265" s="42"/>
      <c r="D265" s="93" t="s">
        <v>848</v>
      </c>
      <c r="E265" s="42" t="s">
        <v>4</v>
      </c>
      <c r="F265" s="42" t="s">
        <v>587</v>
      </c>
      <c r="G265" s="95" t="s">
        <v>847</v>
      </c>
      <c r="H265" s="91" t="s">
        <v>854</v>
      </c>
    </row>
    <row r="266" spans="1:8" x14ac:dyDescent="0.25">
      <c r="A266" s="42"/>
      <c r="B266" s="42"/>
      <c r="C266" s="42"/>
      <c r="D266" s="42" t="s">
        <v>583</v>
      </c>
      <c r="E266" s="42" t="s">
        <v>212</v>
      </c>
      <c r="F266" s="42" t="s">
        <v>587</v>
      </c>
      <c r="G266" s="95" t="s">
        <v>847</v>
      </c>
      <c r="H266" s="42" t="s">
        <v>213</v>
      </c>
    </row>
    <row r="267" spans="1:8" x14ac:dyDescent="0.25">
      <c r="A267" s="42"/>
      <c r="B267" s="42"/>
      <c r="C267" s="42"/>
      <c r="D267" s="93" t="s">
        <v>939</v>
      </c>
      <c r="E267" s="42" t="s">
        <v>5</v>
      </c>
      <c r="F267" s="42" t="s">
        <v>587</v>
      </c>
      <c r="G267" s="95" t="s">
        <v>849</v>
      </c>
    </row>
    <row r="268" spans="1:8" x14ac:dyDescent="0.25">
      <c r="A268" s="42"/>
      <c r="B268" s="42"/>
      <c r="C268" s="42"/>
      <c r="D268" s="42" t="s">
        <v>1008</v>
      </c>
      <c r="E268" s="42" t="s">
        <v>5</v>
      </c>
      <c r="F268" s="42" t="s">
        <v>587</v>
      </c>
      <c r="G268" s="95" t="s">
        <v>1002</v>
      </c>
      <c r="H268" s="42"/>
    </row>
    <row r="269" spans="1:8" x14ac:dyDescent="0.25">
      <c r="A269" s="42"/>
      <c r="B269" s="42"/>
      <c r="C269" s="42"/>
      <c r="D269" s="42" t="s">
        <v>1005</v>
      </c>
      <c r="E269" s="42" t="s">
        <v>4</v>
      </c>
      <c r="F269" s="42" t="s">
        <v>587</v>
      </c>
      <c r="G269" s="95" t="s">
        <v>1003</v>
      </c>
      <c r="H269" s="42" t="s">
        <v>1006</v>
      </c>
    </row>
    <row r="270" spans="1:8" x14ac:dyDescent="0.25">
      <c r="A270" s="42"/>
      <c r="B270" s="42"/>
      <c r="C270" s="42"/>
      <c r="D270" s="42" t="s">
        <v>1007</v>
      </c>
      <c r="E270" s="42" t="s">
        <v>5</v>
      </c>
      <c r="F270" s="42" t="s">
        <v>587</v>
      </c>
      <c r="G270" s="95" t="s">
        <v>1004</v>
      </c>
      <c r="H270" s="42"/>
    </row>
    <row r="271" spans="1:8" ht="28" x14ac:dyDescent="0.25">
      <c r="A271" s="27">
        <v>0</v>
      </c>
      <c r="B271" s="42" t="s">
        <v>1013</v>
      </c>
      <c r="C271" s="42" t="s">
        <v>1010</v>
      </c>
      <c r="D271" s="42" t="s">
        <v>562</v>
      </c>
      <c r="E271" s="42" t="s">
        <v>15</v>
      </c>
      <c r="F271" s="42" t="s">
        <v>564</v>
      </c>
      <c r="G271" s="42"/>
      <c r="H271" s="76" t="s">
        <v>949</v>
      </c>
    </row>
    <row r="272" spans="1:8" x14ac:dyDescent="0.25">
      <c r="A272" s="42"/>
      <c r="B272" s="42"/>
      <c r="C272" s="42"/>
      <c r="D272" s="42" t="s">
        <v>578</v>
      </c>
      <c r="E272" s="42" t="s">
        <v>568</v>
      </c>
      <c r="F272" s="42" t="s">
        <v>564</v>
      </c>
      <c r="G272" s="42" t="s">
        <v>577</v>
      </c>
      <c r="H272" s="5"/>
    </row>
    <row r="273" spans="1:18" x14ac:dyDescent="0.25">
      <c r="A273" s="42"/>
      <c r="B273" s="42"/>
      <c r="C273" s="42"/>
      <c r="D273" s="42" t="s">
        <v>580</v>
      </c>
      <c r="E273" s="42" t="s">
        <v>5</v>
      </c>
      <c r="F273" s="42" t="s">
        <v>564</v>
      </c>
      <c r="G273" s="42" t="s">
        <v>579</v>
      </c>
      <c r="H273" s="5"/>
    </row>
    <row r="274" spans="1:18" x14ac:dyDescent="0.25">
      <c r="A274" s="42"/>
      <c r="B274" s="42"/>
      <c r="C274" s="42"/>
      <c r="D274" s="42" t="s">
        <v>581</v>
      </c>
      <c r="E274" s="42" t="s">
        <v>4</v>
      </c>
      <c r="F274" s="42" t="s">
        <v>564</v>
      </c>
      <c r="G274" s="42" t="s">
        <v>582</v>
      </c>
      <c r="H274" s="42" t="s">
        <v>694</v>
      </c>
    </row>
    <row r="275" spans="1:18" x14ac:dyDescent="0.25">
      <c r="A275" s="42"/>
      <c r="B275" s="42"/>
      <c r="C275" s="42"/>
      <c r="D275" s="42" t="s">
        <v>583</v>
      </c>
      <c r="E275" s="42" t="s">
        <v>212</v>
      </c>
      <c r="F275" s="42" t="s">
        <v>564</v>
      </c>
      <c r="G275" s="42" t="s">
        <v>582</v>
      </c>
      <c r="H275" s="42" t="s">
        <v>213</v>
      </c>
    </row>
    <row r="276" spans="1:18" x14ac:dyDescent="0.25">
      <c r="A276" s="42"/>
      <c r="B276" s="42"/>
      <c r="C276" s="42"/>
      <c r="D276" s="42" t="s">
        <v>610</v>
      </c>
      <c r="E276" s="42" t="s">
        <v>5</v>
      </c>
      <c r="F276" s="42" t="s">
        <v>564</v>
      </c>
      <c r="G276" s="42" t="s">
        <v>585</v>
      </c>
      <c r="H276" s="42"/>
    </row>
    <row r="277" spans="1:18" x14ac:dyDescent="0.25">
      <c r="A277" s="42"/>
      <c r="B277" s="42"/>
      <c r="C277" s="42"/>
      <c r="D277" s="42" t="s">
        <v>563</v>
      </c>
      <c r="E277" s="42" t="s">
        <v>5</v>
      </c>
      <c r="F277" s="42" t="s">
        <v>564</v>
      </c>
      <c r="G277" s="42" t="s">
        <v>586</v>
      </c>
      <c r="H277" s="1"/>
    </row>
    <row r="278" spans="1:18" s="1" customFormat="1" x14ac:dyDescent="0.25">
      <c r="A278" s="42"/>
      <c r="B278" s="42"/>
      <c r="C278" s="42"/>
      <c r="D278" s="42" t="s">
        <v>567</v>
      </c>
      <c r="E278" s="42" t="s">
        <v>568</v>
      </c>
      <c r="F278" s="42" t="s">
        <v>564</v>
      </c>
      <c r="G278" s="42" t="s">
        <v>573</v>
      </c>
      <c r="H278" s="88"/>
      <c r="I278" s="5"/>
      <c r="J278" s="5"/>
      <c r="K278" s="5"/>
      <c r="L278" s="5"/>
      <c r="M278" s="5"/>
      <c r="N278" s="5"/>
      <c r="O278" s="5"/>
      <c r="P278" s="5"/>
      <c r="Q278" s="5"/>
      <c r="R278" s="5"/>
    </row>
    <row r="279" spans="1:18" s="30" customFormat="1" x14ac:dyDescent="0.25">
      <c r="A279" s="42"/>
      <c r="B279" s="42"/>
      <c r="C279" s="42"/>
      <c r="D279" s="42" t="s">
        <v>572</v>
      </c>
      <c r="E279" s="42" t="s">
        <v>5</v>
      </c>
      <c r="F279" s="42" t="s">
        <v>564</v>
      </c>
      <c r="G279" s="42" t="s">
        <v>574</v>
      </c>
      <c r="H279" s="88" t="s">
        <v>213</v>
      </c>
      <c r="I279" s="29"/>
      <c r="J279" s="29"/>
      <c r="K279" s="29"/>
      <c r="L279" s="29"/>
      <c r="M279" s="29"/>
      <c r="N279" s="29"/>
      <c r="O279" s="29"/>
      <c r="P279" s="29"/>
      <c r="Q279" s="29"/>
      <c r="R279" s="29"/>
    </row>
    <row r="280" spans="1:18" x14ac:dyDescent="0.25">
      <c r="A280" s="42"/>
      <c r="B280" s="42"/>
      <c r="C280" s="42"/>
      <c r="D280" s="93" t="s">
        <v>848</v>
      </c>
      <c r="E280" s="42" t="s">
        <v>4</v>
      </c>
      <c r="F280" s="42" t="s">
        <v>587</v>
      </c>
      <c r="G280" s="95" t="s">
        <v>847</v>
      </c>
      <c r="H280" s="91" t="s">
        <v>854</v>
      </c>
    </row>
    <row r="281" spans="1:18" x14ac:dyDescent="0.25">
      <c r="A281" s="42"/>
      <c r="B281" s="42"/>
      <c r="C281" s="42"/>
      <c r="D281" s="42" t="s">
        <v>583</v>
      </c>
      <c r="E281" s="42" t="s">
        <v>212</v>
      </c>
      <c r="F281" s="42" t="s">
        <v>587</v>
      </c>
      <c r="G281" s="95" t="s">
        <v>847</v>
      </c>
      <c r="H281" s="42" t="s">
        <v>213</v>
      </c>
    </row>
    <row r="282" spans="1:18" x14ac:dyDescent="0.25">
      <c r="A282" s="42"/>
      <c r="B282" s="42"/>
      <c r="C282" s="42"/>
      <c r="D282" s="93" t="s">
        <v>1009</v>
      </c>
      <c r="E282" s="42" t="s">
        <v>5</v>
      </c>
      <c r="F282" s="42" t="s">
        <v>587</v>
      </c>
      <c r="G282" s="95" t="s">
        <v>849</v>
      </c>
    </row>
    <row r="283" spans="1:18" x14ac:dyDescent="0.25">
      <c r="A283" s="42"/>
      <c r="B283" s="42"/>
      <c r="C283" s="42"/>
      <c r="D283" s="42" t="s">
        <v>1008</v>
      </c>
      <c r="E283" s="42" t="s">
        <v>5</v>
      </c>
      <c r="F283" s="42" t="s">
        <v>587</v>
      </c>
      <c r="G283" s="95" t="s">
        <v>1002</v>
      </c>
      <c r="H283" s="42"/>
    </row>
    <row r="284" spans="1:18" x14ac:dyDescent="0.25">
      <c r="A284" s="42"/>
      <c r="B284" s="42"/>
      <c r="C284" s="42"/>
      <c r="D284" s="42" t="s">
        <v>1005</v>
      </c>
      <c r="E284" s="42" t="s">
        <v>4</v>
      </c>
      <c r="F284" s="42" t="s">
        <v>587</v>
      </c>
      <c r="G284" s="95" t="s">
        <v>1003</v>
      </c>
      <c r="H284" s="42" t="s">
        <v>1006</v>
      </c>
    </row>
    <row r="285" spans="1:18" x14ac:dyDescent="0.25">
      <c r="A285" s="42"/>
      <c r="B285" s="42"/>
      <c r="C285" s="42"/>
      <c r="D285" s="42" t="s">
        <v>1007</v>
      </c>
      <c r="E285" s="42" t="s">
        <v>5</v>
      </c>
      <c r="F285" s="42" t="s">
        <v>587</v>
      </c>
      <c r="G285" s="95" t="s">
        <v>1004</v>
      </c>
      <c r="H285" s="42"/>
    </row>
    <row r="286" spans="1:18" ht="28" x14ac:dyDescent="0.25">
      <c r="A286" s="27">
        <v>0</v>
      </c>
      <c r="B286" s="42" t="s">
        <v>863</v>
      </c>
      <c r="C286" s="42" t="s">
        <v>864</v>
      </c>
      <c r="D286" s="42" t="s">
        <v>562</v>
      </c>
      <c r="E286" s="42" t="s">
        <v>15</v>
      </c>
      <c r="F286" s="42" t="s">
        <v>564</v>
      </c>
      <c r="G286" s="42"/>
      <c r="H286" s="76" t="s">
        <v>949</v>
      </c>
    </row>
    <row r="287" spans="1:18" x14ac:dyDescent="0.25">
      <c r="A287" s="42"/>
      <c r="B287" s="42"/>
      <c r="C287" s="42"/>
      <c r="D287" s="42" t="s">
        <v>578</v>
      </c>
      <c r="E287" s="42" t="s">
        <v>568</v>
      </c>
      <c r="F287" s="42" t="s">
        <v>564</v>
      </c>
      <c r="G287" s="42" t="s">
        <v>577</v>
      </c>
      <c r="H287" s="5"/>
    </row>
    <row r="288" spans="1:18" x14ac:dyDescent="0.25">
      <c r="A288" s="42"/>
      <c r="B288" s="42"/>
      <c r="C288" s="42"/>
      <c r="D288" s="42" t="s">
        <v>580</v>
      </c>
      <c r="E288" s="42" t="s">
        <v>5</v>
      </c>
      <c r="F288" s="42" t="s">
        <v>564</v>
      </c>
      <c r="G288" s="42" t="s">
        <v>579</v>
      </c>
      <c r="H288" s="5"/>
    </row>
    <row r="289" spans="1:18" x14ac:dyDescent="0.25">
      <c r="A289" s="42"/>
      <c r="B289" s="42"/>
      <c r="C289" s="42"/>
      <c r="D289" s="42" t="s">
        <v>581</v>
      </c>
      <c r="E289" s="42" t="s">
        <v>4</v>
      </c>
      <c r="F289" s="42" t="s">
        <v>564</v>
      </c>
      <c r="G289" s="42" t="s">
        <v>582</v>
      </c>
      <c r="H289" s="42" t="s">
        <v>771</v>
      </c>
    </row>
    <row r="290" spans="1:18" x14ac:dyDescent="0.25">
      <c r="A290" s="42"/>
      <c r="B290" s="42"/>
      <c r="C290" s="42"/>
      <c r="D290" s="42" t="s">
        <v>583</v>
      </c>
      <c r="E290" s="42" t="s">
        <v>212</v>
      </c>
      <c r="F290" s="42" t="s">
        <v>564</v>
      </c>
      <c r="G290" s="42" t="s">
        <v>582</v>
      </c>
      <c r="H290" s="42" t="s">
        <v>213</v>
      </c>
    </row>
    <row r="291" spans="1:18" x14ac:dyDescent="0.25">
      <c r="A291" s="42"/>
      <c r="B291" s="42"/>
      <c r="C291" s="42"/>
      <c r="D291" s="42" t="s">
        <v>610</v>
      </c>
      <c r="E291" s="42" t="s">
        <v>5</v>
      </c>
      <c r="F291" s="42" t="s">
        <v>564</v>
      </c>
      <c r="G291" s="42" t="s">
        <v>585</v>
      </c>
      <c r="H291" s="42"/>
    </row>
    <row r="292" spans="1:18" x14ac:dyDescent="0.25">
      <c r="A292" s="42"/>
      <c r="B292" s="42"/>
      <c r="C292" s="42"/>
      <c r="D292" s="42" t="s">
        <v>563</v>
      </c>
      <c r="E292" s="42" t="s">
        <v>5</v>
      </c>
      <c r="F292" s="42" t="s">
        <v>564</v>
      </c>
      <c r="G292" s="42" t="s">
        <v>586</v>
      </c>
      <c r="H292" s="1"/>
    </row>
    <row r="293" spans="1:18" s="1" customFormat="1" x14ac:dyDescent="0.25">
      <c r="A293" s="42"/>
      <c r="B293" s="42"/>
      <c r="C293" s="42"/>
      <c r="D293" s="42" t="s">
        <v>567</v>
      </c>
      <c r="E293" s="42" t="s">
        <v>568</v>
      </c>
      <c r="F293" s="42" t="s">
        <v>564</v>
      </c>
      <c r="G293" s="42" t="s">
        <v>573</v>
      </c>
      <c r="H293" s="88"/>
      <c r="I293" s="5"/>
      <c r="J293" s="5"/>
      <c r="K293" s="5"/>
      <c r="L293" s="5"/>
      <c r="M293" s="5"/>
      <c r="N293" s="5"/>
      <c r="O293" s="5"/>
      <c r="P293" s="5"/>
      <c r="Q293" s="5"/>
      <c r="R293" s="5"/>
    </row>
    <row r="294" spans="1:18" s="30" customFormat="1" x14ac:dyDescent="0.25">
      <c r="A294" s="42"/>
      <c r="B294" s="42"/>
      <c r="C294" s="42"/>
      <c r="D294" s="42" t="s">
        <v>572</v>
      </c>
      <c r="E294" s="42" t="s">
        <v>5</v>
      </c>
      <c r="F294" s="42" t="s">
        <v>564</v>
      </c>
      <c r="G294" s="42" t="s">
        <v>574</v>
      </c>
      <c r="H294" s="88" t="s">
        <v>213</v>
      </c>
      <c r="I294" s="29"/>
      <c r="J294" s="29"/>
      <c r="K294" s="29"/>
      <c r="L294" s="29"/>
      <c r="M294" s="29"/>
      <c r="N294" s="29"/>
      <c r="O294" s="29"/>
      <c r="P294" s="29"/>
      <c r="Q294" s="29"/>
      <c r="R294" s="29"/>
    </row>
    <row r="295" spans="1:18" x14ac:dyDescent="0.25">
      <c r="A295" s="42"/>
      <c r="B295" s="42"/>
      <c r="C295" s="42"/>
      <c r="D295" s="93" t="s">
        <v>848</v>
      </c>
      <c r="E295" s="42" t="s">
        <v>4</v>
      </c>
      <c r="F295" s="42" t="s">
        <v>587</v>
      </c>
      <c r="G295" s="95" t="s">
        <v>847</v>
      </c>
      <c r="H295" s="91" t="s">
        <v>854</v>
      </c>
    </row>
    <row r="296" spans="1:18" x14ac:dyDescent="0.25">
      <c r="A296" s="42"/>
      <c r="B296" s="42"/>
      <c r="C296" s="42"/>
      <c r="D296" s="42" t="s">
        <v>583</v>
      </c>
      <c r="E296" s="42" t="s">
        <v>212</v>
      </c>
      <c r="F296" s="42" t="s">
        <v>587</v>
      </c>
      <c r="G296" s="95" t="s">
        <v>847</v>
      </c>
      <c r="H296" s="42" t="s">
        <v>213</v>
      </c>
    </row>
    <row r="297" spans="1:18" x14ac:dyDescent="0.25">
      <c r="A297" s="42"/>
      <c r="B297" s="42"/>
      <c r="C297" s="42"/>
      <c r="D297" s="93" t="s">
        <v>1009</v>
      </c>
      <c r="E297" s="42" t="s">
        <v>5</v>
      </c>
      <c r="F297" s="42" t="s">
        <v>587</v>
      </c>
      <c r="G297" s="95" t="s">
        <v>849</v>
      </c>
    </row>
    <row r="298" spans="1:18" x14ac:dyDescent="0.25">
      <c r="A298" s="42"/>
      <c r="B298" s="42"/>
      <c r="C298" s="42"/>
      <c r="D298" s="93" t="s">
        <v>859</v>
      </c>
      <c r="E298" s="42" t="s">
        <v>5</v>
      </c>
      <c r="F298" s="42" t="s">
        <v>587</v>
      </c>
      <c r="G298" s="95" t="s">
        <v>856</v>
      </c>
    </row>
    <row r="299" spans="1:18" ht="28" x14ac:dyDescent="0.25">
      <c r="A299" s="27">
        <v>0</v>
      </c>
      <c r="B299" s="42" t="s">
        <v>861</v>
      </c>
      <c r="C299" s="42" t="s">
        <v>862</v>
      </c>
      <c r="D299" s="93" t="s">
        <v>858</v>
      </c>
      <c r="E299" s="42" t="s">
        <v>5</v>
      </c>
      <c r="F299" s="42" t="s">
        <v>587</v>
      </c>
      <c r="G299" s="95" t="s">
        <v>763</v>
      </c>
    </row>
    <row r="300" spans="1:18" ht="28" x14ac:dyDescent="0.25">
      <c r="A300" s="42"/>
      <c r="B300" s="42"/>
      <c r="C300" s="42"/>
      <c r="D300" s="42" t="s">
        <v>767</v>
      </c>
      <c r="E300" s="42" t="s">
        <v>86</v>
      </c>
      <c r="F300" s="42" t="s">
        <v>587</v>
      </c>
      <c r="G300" s="95" t="s">
        <v>768</v>
      </c>
      <c r="H300" s="42" t="s">
        <v>865</v>
      </c>
    </row>
    <row r="301" spans="1:18" ht="28" x14ac:dyDescent="0.25">
      <c r="A301" s="42"/>
      <c r="B301" s="42"/>
      <c r="C301" s="42"/>
      <c r="D301" s="42" t="s">
        <v>843</v>
      </c>
      <c r="E301" s="42" t="s">
        <v>351</v>
      </c>
      <c r="F301" s="42"/>
      <c r="G301" s="95"/>
      <c r="H301" s="65">
        <v>2</v>
      </c>
    </row>
    <row r="302" spans="1:18" ht="28" x14ac:dyDescent="0.25">
      <c r="A302" s="27">
        <v>0</v>
      </c>
      <c r="B302" s="42" t="s">
        <v>866</v>
      </c>
      <c r="C302" s="42" t="s">
        <v>867</v>
      </c>
      <c r="D302" s="42"/>
      <c r="E302" s="42" t="s">
        <v>833</v>
      </c>
      <c r="F302" s="42"/>
      <c r="G302" s="95"/>
      <c r="H302" s="65">
        <v>2</v>
      </c>
    </row>
    <row r="303" spans="1:18" ht="28" x14ac:dyDescent="0.25">
      <c r="A303" s="42"/>
      <c r="B303" s="42"/>
      <c r="C303" s="42"/>
      <c r="D303" s="42" t="s">
        <v>780</v>
      </c>
      <c r="E303" s="42" t="s">
        <v>146</v>
      </c>
      <c r="F303" s="42" t="s">
        <v>587</v>
      </c>
      <c r="G303" s="95" t="s">
        <v>785</v>
      </c>
      <c r="H303" s="42" t="s">
        <v>868</v>
      </c>
    </row>
    <row r="304" spans="1:18" ht="28" x14ac:dyDescent="0.25">
      <c r="A304" s="42"/>
      <c r="B304" s="42"/>
      <c r="C304" s="42"/>
      <c r="D304" s="42" t="s">
        <v>598</v>
      </c>
      <c r="E304" s="5" t="s">
        <v>18</v>
      </c>
      <c r="F304" s="42" t="s">
        <v>587</v>
      </c>
      <c r="G304" s="95" t="s">
        <v>834</v>
      </c>
      <c r="H304" s="42"/>
    </row>
    <row r="305" spans="1:18" ht="28" x14ac:dyDescent="0.25">
      <c r="A305" s="42"/>
      <c r="B305" s="42"/>
      <c r="C305" s="42"/>
      <c r="D305" s="42" t="s">
        <v>838</v>
      </c>
      <c r="E305" s="5" t="s">
        <v>837</v>
      </c>
      <c r="F305" s="42" t="s">
        <v>587</v>
      </c>
      <c r="G305" s="95" t="s">
        <v>788</v>
      </c>
      <c r="H305" s="65">
        <v>1</v>
      </c>
    </row>
    <row r="306" spans="1:18" x14ac:dyDescent="0.25">
      <c r="A306" s="42"/>
      <c r="B306" s="42"/>
      <c r="C306" s="42"/>
      <c r="D306" s="42" t="s">
        <v>790</v>
      </c>
      <c r="E306" s="42" t="s">
        <v>5</v>
      </c>
      <c r="F306" s="42" t="s">
        <v>587</v>
      </c>
      <c r="G306" s="95" t="s">
        <v>840</v>
      </c>
      <c r="H306" s="42"/>
    </row>
    <row r="307" spans="1:18" x14ac:dyDescent="0.25">
      <c r="A307" s="42"/>
      <c r="B307" s="42"/>
      <c r="C307" s="42"/>
      <c r="D307" s="42" t="s">
        <v>815</v>
      </c>
      <c r="E307" s="42" t="s">
        <v>19</v>
      </c>
      <c r="F307" s="42"/>
      <c r="G307" s="95"/>
      <c r="H307" s="42"/>
    </row>
    <row r="308" spans="1:18" x14ac:dyDescent="0.25">
      <c r="A308" s="42"/>
      <c r="B308" s="42"/>
      <c r="C308" s="42"/>
      <c r="D308" s="42" t="s">
        <v>791</v>
      </c>
      <c r="E308" s="42" t="s">
        <v>5</v>
      </c>
      <c r="F308" s="42" t="s">
        <v>587</v>
      </c>
      <c r="G308" s="95" t="s">
        <v>793</v>
      </c>
      <c r="H308" s="42"/>
    </row>
    <row r="309" spans="1:18" ht="28" x14ac:dyDescent="0.25">
      <c r="A309" s="27">
        <v>0</v>
      </c>
      <c r="B309" s="42" t="s">
        <v>1014</v>
      </c>
      <c r="C309" s="42" t="s">
        <v>1016</v>
      </c>
      <c r="D309" s="42" t="s">
        <v>842</v>
      </c>
      <c r="E309" s="42" t="s">
        <v>146</v>
      </c>
      <c r="F309" s="42" t="s">
        <v>587</v>
      </c>
      <c r="G309" s="95" t="s">
        <v>792</v>
      </c>
      <c r="H309" s="42" t="s">
        <v>796</v>
      </c>
    </row>
    <row r="310" spans="1:18" ht="28" x14ac:dyDescent="0.25">
      <c r="A310" s="27"/>
      <c r="B310" s="42"/>
      <c r="C310" s="42"/>
      <c r="D310" s="42" t="s">
        <v>799</v>
      </c>
      <c r="E310" s="42" t="s">
        <v>299</v>
      </c>
      <c r="F310" s="42"/>
      <c r="G310" s="95"/>
      <c r="H310" s="42"/>
    </row>
    <row r="311" spans="1:18" ht="28" x14ac:dyDescent="0.25">
      <c r="A311" s="27">
        <v>0</v>
      </c>
      <c r="B311" s="42" t="s">
        <v>1015</v>
      </c>
      <c r="C311" s="42" t="s">
        <v>1017</v>
      </c>
      <c r="D311" s="42" t="s">
        <v>776</v>
      </c>
      <c r="E311" s="42" t="s">
        <v>604</v>
      </c>
      <c r="F311" s="42" t="s">
        <v>587</v>
      </c>
      <c r="G311" s="95" t="s">
        <v>786</v>
      </c>
      <c r="H311" s="66" t="s">
        <v>1019</v>
      </c>
    </row>
    <row r="312" spans="1:18" x14ac:dyDescent="0.25">
      <c r="A312" s="42"/>
      <c r="B312" s="42"/>
      <c r="C312" s="42"/>
      <c r="D312" s="42" t="s">
        <v>802</v>
      </c>
      <c r="E312" s="42" t="s">
        <v>5</v>
      </c>
      <c r="F312" s="42" t="s">
        <v>587</v>
      </c>
      <c r="G312" s="95" t="s">
        <v>802</v>
      </c>
      <c r="H312" s="42"/>
    </row>
    <row r="313" spans="1:18" x14ac:dyDescent="0.25">
      <c r="A313" s="42"/>
      <c r="B313" s="42"/>
      <c r="C313" s="42"/>
      <c r="D313" s="42" t="s">
        <v>1008</v>
      </c>
      <c r="E313" s="42" t="s">
        <v>5</v>
      </c>
      <c r="F313" s="42" t="s">
        <v>587</v>
      </c>
      <c r="G313" s="95" t="s">
        <v>1002</v>
      </c>
      <c r="H313" s="42"/>
    </row>
    <row r="314" spans="1:18" s="1" customFormat="1" ht="28" x14ac:dyDescent="0.25">
      <c r="A314" s="27">
        <v>0</v>
      </c>
      <c r="B314" s="42" t="s">
        <v>1021</v>
      </c>
      <c r="C314" s="42" t="s">
        <v>1023</v>
      </c>
      <c r="D314" s="42" t="s">
        <v>1020</v>
      </c>
      <c r="E314" s="42" t="s">
        <v>531</v>
      </c>
      <c r="F314" s="42" t="s">
        <v>587</v>
      </c>
      <c r="G314" s="95" t="s">
        <v>901</v>
      </c>
      <c r="H314" s="1" t="b">
        <v>1</v>
      </c>
      <c r="I314" s="5"/>
      <c r="J314" s="5"/>
      <c r="K314" s="5"/>
      <c r="L314" s="5"/>
      <c r="M314" s="5"/>
      <c r="N314" s="5"/>
      <c r="O314" s="5"/>
      <c r="P314" s="5"/>
      <c r="Q314" s="5"/>
      <c r="R314" s="5"/>
    </row>
    <row r="315" spans="1:18" x14ac:dyDescent="0.25">
      <c r="A315" s="42"/>
      <c r="B315" s="42"/>
      <c r="C315" s="42"/>
      <c r="D315" s="42" t="s">
        <v>1005</v>
      </c>
      <c r="E315" s="42" t="s">
        <v>4</v>
      </c>
      <c r="F315" s="42" t="s">
        <v>587</v>
      </c>
      <c r="G315" s="95" t="s">
        <v>1003</v>
      </c>
      <c r="H315" s="42" t="s">
        <v>1006</v>
      </c>
    </row>
    <row r="316" spans="1:18" x14ac:dyDescent="0.25">
      <c r="A316" s="42"/>
      <c r="B316" s="42"/>
      <c r="C316" s="42"/>
      <c r="D316" s="42" t="s">
        <v>1007</v>
      </c>
      <c r="E316" s="42" t="s">
        <v>5</v>
      </c>
      <c r="F316" s="42" t="s">
        <v>587</v>
      </c>
      <c r="G316" s="95" t="s">
        <v>1004</v>
      </c>
      <c r="H316" s="42"/>
    </row>
    <row r="317" spans="1:18" ht="28" x14ac:dyDescent="0.25">
      <c r="A317" s="27">
        <v>0</v>
      </c>
      <c r="B317" s="42" t="s">
        <v>863</v>
      </c>
      <c r="C317" s="42" t="s">
        <v>1024</v>
      </c>
      <c r="D317" s="42" t="s">
        <v>562</v>
      </c>
      <c r="E317" s="42" t="s">
        <v>15</v>
      </c>
      <c r="F317" s="42" t="s">
        <v>564</v>
      </c>
      <c r="G317" s="42"/>
      <c r="H317" s="76" t="s">
        <v>949</v>
      </c>
    </row>
    <row r="318" spans="1:18" x14ac:dyDescent="0.25">
      <c r="A318" s="42"/>
      <c r="B318" s="42"/>
      <c r="C318" s="42"/>
      <c r="D318" s="42" t="s">
        <v>578</v>
      </c>
      <c r="E318" s="42" t="s">
        <v>568</v>
      </c>
      <c r="F318" s="42" t="s">
        <v>564</v>
      </c>
      <c r="G318" s="42" t="s">
        <v>577</v>
      </c>
      <c r="H318" s="5"/>
    </row>
    <row r="319" spans="1:18" x14ac:dyDescent="0.25">
      <c r="A319" s="42"/>
      <c r="B319" s="42"/>
      <c r="C319" s="42"/>
      <c r="D319" s="42" t="s">
        <v>580</v>
      </c>
      <c r="E319" s="42" t="s">
        <v>5</v>
      </c>
      <c r="F319" s="42" t="s">
        <v>564</v>
      </c>
      <c r="G319" s="42" t="s">
        <v>579</v>
      </c>
      <c r="H319" s="5"/>
    </row>
    <row r="320" spans="1:18" x14ac:dyDescent="0.25">
      <c r="A320" s="42"/>
      <c r="B320" s="42"/>
      <c r="C320" s="42"/>
      <c r="D320" s="42" t="s">
        <v>581</v>
      </c>
      <c r="E320" s="42" t="s">
        <v>4</v>
      </c>
      <c r="F320" s="42" t="s">
        <v>564</v>
      </c>
      <c r="G320" s="42" t="s">
        <v>582</v>
      </c>
      <c r="H320" s="42" t="s">
        <v>771</v>
      </c>
    </row>
    <row r="321" spans="1:18" x14ac:dyDescent="0.25">
      <c r="A321" s="42"/>
      <c r="B321" s="42"/>
      <c r="C321" s="42"/>
      <c r="D321" s="42" t="s">
        <v>583</v>
      </c>
      <c r="E321" s="42" t="s">
        <v>212</v>
      </c>
      <c r="F321" s="42" t="s">
        <v>564</v>
      </c>
      <c r="G321" s="42" t="s">
        <v>582</v>
      </c>
      <c r="H321" s="42" t="s">
        <v>213</v>
      </c>
    </row>
    <row r="322" spans="1:18" x14ac:dyDescent="0.25">
      <c r="A322" s="42"/>
      <c r="B322" s="42"/>
      <c r="C322" s="42"/>
      <c r="D322" s="42" t="s">
        <v>610</v>
      </c>
      <c r="E322" s="42" t="s">
        <v>5</v>
      </c>
      <c r="F322" s="42" t="s">
        <v>564</v>
      </c>
      <c r="G322" s="42" t="s">
        <v>585</v>
      </c>
      <c r="H322" s="42"/>
    </row>
    <row r="323" spans="1:18" x14ac:dyDescent="0.25">
      <c r="A323" s="42"/>
      <c r="B323" s="42"/>
      <c r="C323" s="42"/>
      <c r="D323" s="42" t="s">
        <v>563</v>
      </c>
      <c r="E323" s="42" t="s">
        <v>5</v>
      </c>
      <c r="F323" s="42" t="s">
        <v>564</v>
      </c>
      <c r="G323" s="42" t="s">
        <v>586</v>
      </c>
      <c r="H323" s="1"/>
    </row>
    <row r="324" spans="1:18" s="1" customFormat="1" x14ac:dyDescent="0.25">
      <c r="A324" s="42"/>
      <c r="B324" s="42"/>
      <c r="C324" s="42"/>
      <c r="D324" s="42" t="s">
        <v>567</v>
      </c>
      <c r="E324" s="42" t="s">
        <v>568</v>
      </c>
      <c r="F324" s="42" t="s">
        <v>564</v>
      </c>
      <c r="G324" s="42" t="s">
        <v>573</v>
      </c>
      <c r="H324" s="88"/>
      <c r="I324" s="5"/>
      <c r="J324" s="5"/>
      <c r="K324" s="5"/>
      <c r="L324" s="5"/>
      <c r="M324" s="5"/>
      <c r="N324" s="5"/>
      <c r="O324" s="5"/>
      <c r="P324" s="5"/>
      <c r="Q324" s="5"/>
      <c r="R324" s="5"/>
    </row>
    <row r="325" spans="1:18" s="30" customFormat="1" x14ac:dyDescent="0.25">
      <c r="A325" s="42"/>
      <c r="B325" s="42"/>
      <c r="C325" s="42"/>
      <c r="D325" s="42" t="s">
        <v>572</v>
      </c>
      <c r="E325" s="42" t="s">
        <v>5</v>
      </c>
      <c r="F325" s="42" t="s">
        <v>564</v>
      </c>
      <c r="G325" s="42" t="s">
        <v>574</v>
      </c>
      <c r="H325" s="88" t="s">
        <v>213</v>
      </c>
      <c r="I325" s="29"/>
      <c r="J325" s="29"/>
      <c r="K325" s="29"/>
      <c r="L325" s="29"/>
      <c r="M325" s="29"/>
      <c r="N325" s="29"/>
      <c r="O325" s="29"/>
      <c r="P325" s="29"/>
      <c r="Q325" s="29"/>
      <c r="R325" s="29"/>
    </row>
    <row r="326" spans="1:18" x14ac:dyDescent="0.25">
      <c r="A326" s="42"/>
      <c r="B326" s="42"/>
      <c r="C326" s="42"/>
      <c r="D326" s="93" t="s">
        <v>848</v>
      </c>
      <c r="E326" s="42" t="s">
        <v>4</v>
      </c>
      <c r="F326" s="42" t="s">
        <v>587</v>
      </c>
      <c r="G326" s="95" t="s">
        <v>847</v>
      </c>
      <c r="H326" s="91" t="s">
        <v>854</v>
      </c>
    </row>
    <row r="327" spans="1:18" x14ac:dyDescent="0.25">
      <c r="A327" s="42"/>
      <c r="B327" s="42"/>
      <c r="C327" s="42"/>
      <c r="D327" s="42" t="s">
        <v>583</v>
      </c>
      <c r="E327" s="42" t="s">
        <v>212</v>
      </c>
      <c r="F327" s="42" t="s">
        <v>587</v>
      </c>
      <c r="G327" s="95" t="s">
        <v>847</v>
      </c>
      <c r="H327" s="42" t="s">
        <v>213</v>
      </c>
    </row>
    <row r="328" spans="1:18" x14ac:dyDescent="0.25">
      <c r="A328" s="42"/>
      <c r="B328" s="42"/>
      <c r="C328" s="42"/>
      <c r="D328" s="93" t="s">
        <v>1009</v>
      </c>
      <c r="E328" s="42" t="s">
        <v>5</v>
      </c>
      <c r="F328" s="42" t="s">
        <v>587</v>
      </c>
      <c r="G328" s="95" t="s">
        <v>849</v>
      </c>
    </row>
    <row r="329" spans="1:18" x14ac:dyDescent="0.25">
      <c r="A329" s="42"/>
      <c r="B329" s="42"/>
      <c r="C329" s="42"/>
      <c r="D329" s="42" t="s">
        <v>1022</v>
      </c>
      <c r="E329" s="42" t="s">
        <v>5</v>
      </c>
      <c r="F329" s="42" t="s">
        <v>587</v>
      </c>
      <c r="G329" s="95" t="s">
        <v>1002</v>
      </c>
      <c r="H329" s="42"/>
    </row>
    <row r="330" spans="1:18" ht="28" x14ac:dyDescent="0.25">
      <c r="A330" s="27">
        <v>0</v>
      </c>
      <c r="B330" s="42" t="s">
        <v>1047</v>
      </c>
      <c r="C330" s="42" t="s">
        <v>1025</v>
      </c>
      <c r="D330" s="118" t="s">
        <v>1043</v>
      </c>
      <c r="E330" s="42" t="s">
        <v>4</v>
      </c>
      <c r="F330" s="42" t="s">
        <v>587</v>
      </c>
      <c r="G330" s="95" t="s">
        <v>1028</v>
      </c>
      <c r="H330" s="13"/>
    </row>
    <row r="331" spans="1:18" ht="28" x14ac:dyDescent="0.25">
      <c r="A331" s="42"/>
      <c r="B331" s="42"/>
      <c r="C331" s="42"/>
      <c r="D331" s="118" t="s">
        <v>1044</v>
      </c>
      <c r="E331" s="42" t="s">
        <v>4</v>
      </c>
      <c r="F331" s="42" t="s">
        <v>587</v>
      </c>
      <c r="G331" s="95" t="s">
        <v>1029</v>
      </c>
      <c r="H331" s="13"/>
    </row>
    <row r="332" spans="1:18" ht="28" x14ac:dyDescent="0.25">
      <c r="A332" s="42"/>
      <c r="B332" s="42"/>
      <c r="C332" s="42"/>
      <c r="D332" s="118" t="s">
        <v>1045</v>
      </c>
      <c r="E332" s="42" t="s">
        <v>5</v>
      </c>
      <c r="F332" s="42" t="s">
        <v>587</v>
      </c>
      <c r="G332" s="95" t="s">
        <v>1030</v>
      </c>
      <c r="H332" s="13"/>
    </row>
    <row r="333" spans="1:18" x14ac:dyDescent="0.25">
      <c r="A333" s="42"/>
      <c r="B333" s="42"/>
      <c r="C333" s="42"/>
      <c r="D333" s="118" t="s">
        <v>1045</v>
      </c>
      <c r="E333" s="42" t="s">
        <v>4</v>
      </c>
      <c r="F333" s="42" t="s">
        <v>587</v>
      </c>
      <c r="G333" s="116" t="s">
        <v>1036</v>
      </c>
      <c r="H333" s="13"/>
    </row>
    <row r="334" spans="1:18" x14ac:dyDescent="0.25">
      <c r="A334" s="42"/>
      <c r="B334" s="42"/>
      <c r="C334" s="42"/>
      <c r="D334" s="118" t="s">
        <v>1045</v>
      </c>
      <c r="E334" s="42" t="s">
        <v>5</v>
      </c>
      <c r="F334" s="42" t="s">
        <v>587</v>
      </c>
      <c r="G334" s="116" t="s">
        <v>741</v>
      </c>
      <c r="H334" s="13"/>
    </row>
    <row r="335" spans="1:18" ht="28" x14ac:dyDescent="0.25">
      <c r="A335" s="42"/>
      <c r="B335" s="42"/>
      <c r="C335" s="42"/>
      <c r="D335" s="118" t="s">
        <v>1046</v>
      </c>
      <c r="E335" s="42" t="s">
        <v>5</v>
      </c>
      <c r="F335" s="42" t="s">
        <v>587</v>
      </c>
      <c r="G335" s="95" t="s">
        <v>1031</v>
      </c>
      <c r="H335" s="13"/>
    </row>
    <row r="336" spans="1:18" x14ac:dyDescent="0.25">
      <c r="A336" s="42"/>
      <c r="B336" s="42"/>
      <c r="C336" s="42"/>
      <c r="D336" s="118" t="s">
        <v>1046</v>
      </c>
      <c r="E336" s="42" t="s">
        <v>5</v>
      </c>
      <c r="F336" s="42" t="s">
        <v>587</v>
      </c>
      <c r="G336" s="116" t="s">
        <v>1040</v>
      </c>
      <c r="H336" s="13"/>
    </row>
    <row r="337" spans="1:8" x14ac:dyDescent="0.25">
      <c r="A337" s="42"/>
      <c r="B337" s="42"/>
      <c r="C337" s="42"/>
      <c r="D337" s="118" t="s">
        <v>1046</v>
      </c>
      <c r="E337" s="42" t="s">
        <v>5</v>
      </c>
      <c r="F337" s="42" t="s">
        <v>587</v>
      </c>
      <c r="G337" s="116" t="s">
        <v>1039</v>
      </c>
      <c r="H337" s="13"/>
    </row>
    <row r="338" spans="1:8" ht="28" x14ac:dyDescent="0.25">
      <c r="A338" s="42"/>
      <c r="B338" s="42"/>
      <c r="C338" s="42"/>
      <c r="D338" s="118" t="s">
        <v>1050</v>
      </c>
      <c r="E338" s="42" t="s">
        <v>5</v>
      </c>
      <c r="F338" s="42" t="s">
        <v>587</v>
      </c>
      <c r="G338" s="95" t="s">
        <v>1049</v>
      </c>
      <c r="H338" s="13"/>
    </row>
    <row r="339" spans="1:8" x14ac:dyDescent="0.25">
      <c r="A339" s="42"/>
      <c r="B339" s="42"/>
      <c r="C339" s="42"/>
      <c r="D339" s="13"/>
      <c r="E339" s="13"/>
      <c r="F339" s="13"/>
      <c r="G339" s="13"/>
      <c r="H339" s="13"/>
    </row>
    <row r="340" spans="1:8" x14ac:dyDescent="0.25">
      <c r="A340" s="42"/>
      <c r="B340" s="117"/>
      <c r="C340" s="117"/>
    </row>
    <row r="341" spans="1:8" x14ac:dyDescent="0.25">
      <c r="A341" s="42"/>
      <c r="B341" s="42"/>
      <c r="C341" s="42"/>
    </row>
    <row r="342" spans="1:8" x14ac:dyDescent="0.25">
      <c r="A342" s="42"/>
      <c r="B342" s="42"/>
      <c r="C342" s="42"/>
    </row>
    <row r="343" spans="1:8" x14ac:dyDescent="0.25">
      <c r="A343" s="42"/>
      <c r="B343" s="42"/>
      <c r="C343" s="42"/>
    </row>
    <row r="344" spans="1:8" x14ac:dyDescent="0.25">
      <c r="A344" s="42"/>
      <c r="B344" s="42"/>
      <c r="C344" s="42"/>
    </row>
    <row r="345" spans="1:8" x14ac:dyDescent="0.25">
      <c r="A345" s="42"/>
      <c r="B345" s="42"/>
      <c r="C345" s="42"/>
    </row>
    <row r="346" spans="1:8" x14ac:dyDescent="0.25">
      <c r="A346" s="42"/>
      <c r="B346" s="42"/>
      <c r="C346" s="42"/>
    </row>
    <row r="347" spans="1:8" x14ac:dyDescent="0.25">
      <c r="A347" s="42"/>
      <c r="B347" s="42"/>
      <c r="C347" s="42"/>
    </row>
    <row r="348" spans="1:8" x14ac:dyDescent="0.25">
      <c r="A348" s="42"/>
      <c r="B348" s="42"/>
      <c r="C348" s="42"/>
    </row>
    <row r="349" spans="1:8" x14ac:dyDescent="0.25">
      <c r="A349" s="42"/>
      <c r="B349" s="42"/>
      <c r="C349" s="42"/>
    </row>
    <row r="350" spans="1:8" x14ac:dyDescent="0.25">
      <c r="A350" s="42"/>
      <c r="B350" s="42"/>
      <c r="C350" s="42"/>
    </row>
    <row r="351" spans="1:8" x14ac:dyDescent="0.25">
      <c r="A351" s="42"/>
      <c r="B351" s="42"/>
      <c r="C351" s="42"/>
    </row>
    <row r="352" spans="1:8" x14ac:dyDescent="0.25">
      <c r="A352" s="42"/>
      <c r="B352" s="42"/>
      <c r="C352" s="42"/>
    </row>
    <row r="353" spans="1:3" x14ac:dyDescent="0.25">
      <c r="A353" s="42"/>
      <c r="B353" s="42"/>
      <c r="C353" s="42"/>
    </row>
    <row r="354" spans="1:3" x14ac:dyDescent="0.25">
      <c r="A354" s="42"/>
      <c r="B354" s="42"/>
      <c r="C354" s="42"/>
    </row>
    <row r="355" spans="1:3" x14ac:dyDescent="0.25">
      <c r="A355" s="42"/>
      <c r="B355" s="42"/>
      <c r="C355" s="42"/>
    </row>
    <row r="356" spans="1:3" x14ac:dyDescent="0.25">
      <c r="A356" s="42"/>
      <c r="B356" s="42"/>
      <c r="C356" s="42"/>
    </row>
    <row r="357" spans="1:3" x14ac:dyDescent="0.25">
      <c r="A357" s="42"/>
      <c r="B357" s="42"/>
      <c r="C357" s="42"/>
    </row>
    <row r="358" spans="1:3" x14ac:dyDescent="0.25">
      <c r="A358" s="42"/>
      <c r="B358" s="42"/>
      <c r="C358" s="42"/>
    </row>
    <row r="359" spans="1:3" x14ac:dyDescent="0.25">
      <c r="A359" s="42"/>
      <c r="B359" s="42"/>
      <c r="C359" s="42"/>
    </row>
    <row r="360" spans="1:3" x14ac:dyDescent="0.25">
      <c r="A360" s="42"/>
      <c r="B360" s="42"/>
      <c r="C360" s="42"/>
    </row>
    <row r="361" spans="1:3" x14ac:dyDescent="0.25">
      <c r="A361" s="42"/>
      <c r="B361" s="42"/>
      <c r="C361" s="42"/>
    </row>
    <row r="362" spans="1:3" x14ac:dyDescent="0.25">
      <c r="A362" s="42"/>
      <c r="B362" s="42"/>
      <c r="C362" s="42"/>
    </row>
    <row r="363" spans="1:3" x14ac:dyDescent="0.25">
      <c r="A363" s="42"/>
      <c r="B363" s="42"/>
      <c r="C363" s="42"/>
    </row>
    <row r="364" spans="1:3" x14ac:dyDescent="0.25">
      <c r="A364" s="42"/>
      <c r="B364" s="42"/>
      <c r="C364" s="42"/>
    </row>
    <row r="365" spans="1:3" x14ac:dyDescent="0.25">
      <c r="A365" s="42"/>
      <c r="B365" s="42"/>
      <c r="C365" s="42"/>
    </row>
    <row r="366" spans="1:3" x14ac:dyDescent="0.25">
      <c r="A366" s="42"/>
      <c r="B366" s="42"/>
      <c r="C366" s="42"/>
    </row>
    <row r="367" spans="1:3" x14ac:dyDescent="0.25">
      <c r="A367" s="42"/>
      <c r="B367" s="42"/>
      <c r="C367" s="42"/>
    </row>
    <row r="368" spans="1:3" x14ac:dyDescent="0.25">
      <c r="A368" s="42"/>
      <c r="B368" s="42"/>
      <c r="C368" s="42"/>
    </row>
    <row r="369" spans="1:3" x14ac:dyDescent="0.25">
      <c r="A369" s="42"/>
      <c r="B369" s="42"/>
      <c r="C369" s="42"/>
    </row>
    <row r="370" spans="1:3" x14ac:dyDescent="0.25">
      <c r="A370" s="42"/>
      <c r="B370" s="42"/>
      <c r="C370" s="42"/>
    </row>
    <row r="371" spans="1:3" x14ac:dyDescent="0.25">
      <c r="A371" s="42"/>
      <c r="B371" s="42"/>
      <c r="C371" s="42"/>
    </row>
    <row r="372" spans="1:3" x14ac:dyDescent="0.25">
      <c r="A372" s="42"/>
      <c r="B372" s="42"/>
      <c r="C372" s="42"/>
    </row>
    <row r="373" spans="1:3" x14ac:dyDescent="0.25">
      <c r="A373" s="42"/>
      <c r="B373" s="42"/>
      <c r="C373" s="42"/>
    </row>
    <row r="374" spans="1:3" x14ac:dyDescent="0.25">
      <c r="A374" s="42"/>
      <c r="B374" s="42"/>
      <c r="C374" s="42"/>
    </row>
    <row r="375" spans="1:3" x14ac:dyDescent="0.25">
      <c r="A375" s="42"/>
      <c r="B375" s="42"/>
      <c r="C375" s="42"/>
    </row>
    <row r="376" spans="1:3" x14ac:dyDescent="0.25">
      <c r="A376" s="42"/>
      <c r="B376" s="42"/>
      <c r="C376" s="42"/>
    </row>
    <row r="377" spans="1:3" x14ac:dyDescent="0.25">
      <c r="A377" s="42"/>
      <c r="B377" s="42"/>
      <c r="C377" s="42"/>
    </row>
    <row r="378" spans="1:3" x14ac:dyDescent="0.25">
      <c r="A378" s="42"/>
      <c r="B378" s="42"/>
      <c r="C378" s="42"/>
    </row>
    <row r="379" spans="1:3" x14ac:dyDescent="0.25">
      <c r="A379" s="42"/>
      <c r="B379" s="42"/>
      <c r="C379" s="42"/>
    </row>
    <row r="380" spans="1:3" x14ac:dyDescent="0.25">
      <c r="A380" s="42"/>
      <c r="B380" s="42"/>
      <c r="C380" s="42"/>
    </row>
    <row r="381" spans="1:3" x14ac:dyDescent="0.25">
      <c r="A381" s="42"/>
      <c r="B381" s="42"/>
      <c r="C381" s="42"/>
    </row>
    <row r="382" spans="1:3" x14ac:dyDescent="0.25">
      <c r="A382" s="42"/>
      <c r="B382" s="42"/>
      <c r="C382" s="42"/>
    </row>
    <row r="383" spans="1:3" x14ac:dyDescent="0.25">
      <c r="A383" s="42"/>
      <c r="B383" s="42"/>
      <c r="C383" s="42"/>
    </row>
    <row r="384" spans="1:3" x14ac:dyDescent="0.25">
      <c r="A384" s="42"/>
      <c r="B384" s="42"/>
      <c r="C384" s="42"/>
    </row>
    <row r="385" spans="1:3" x14ac:dyDescent="0.25">
      <c r="A385" s="42"/>
      <c r="B385" s="42"/>
      <c r="C385" s="42"/>
    </row>
    <row r="386" spans="1:3" x14ac:dyDescent="0.25">
      <c r="A386" s="42"/>
      <c r="B386" s="42"/>
      <c r="C386" s="42"/>
    </row>
    <row r="387" spans="1:3" x14ac:dyDescent="0.25">
      <c r="A387" s="42"/>
      <c r="B387" s="42"/>
      <c r="C387" s="42"/>
    </row>
    <row r="388" spans="1:3" x14ac:dyDescent="0.25">
      <c r="A388" s="42"/>
      <c r="B388" s="42"/>
      <c r="C388" s="42"/>
    </row>
    <row r="389" spans="1:3" x14ac:dyDescent="0.25">
      <c r="A389" s="42"/>
      <c r="B389" s="42"/>
      <c r="C389" s="42"/>
    </row>
    <row r="390" spans="1:3" x14ac:dyDescent="0.25">
      <c r="A390" s="42"/>
      <c r="B390" s="42"/>
      <c r="C390" s="42"/>
    </row>
    <row r="391" spans="1:3" x14ac:dyDescent="0.25">
      <c r="A391" s="42"/>
      <c r="B391" s="42"/>
      <c r="C391" s="42"/>
    </row>
    <row r="392" spans="1:3" x14ac:dyDescent="0.25">
      <c r="A392" s="42"/>
      <c r="B392" s="42"/>
      <c r="C392" s="42"/>
    </row>
    <row r="393" spans="1:3" x14ac:dyDescent="0.25">
      <c r="A393" s="42"/>
      <c r="B393" s="42"/>
      <c r="C393" s="42"/>
    </row>
    <row r="394" spans="1:3" x14ac:dyDescent="0.25">
      <c r="A394" s="42"/>
      <c r="B394" s="42"/>
      <c r="C394" s="42"/>
    </row>
    <row r="395" spans="1:3" x14ac:dyDescent="0.25">
      <c r="A395" s="42"/>
      <c r="B395" s="42"/>
      <c r="C395" s="42"/>
    </row>
    <row r="396" spans="1:3" x14ac:dyDescent="0.25">
      <c r="A396" s="42"/>
      <c r="B396" s="42"/>
      <c r="C396" s="42"/>
    </row>
    <row r="397" spans="1:3" x14ac:dyDescent="0.25">
      <c r="A397" s="42"/>
      <c r="B397" s="42"/>
      <c r="C397" s="42"/>
    </row>
    <row r="398" spans="1:3" x14ac:dyDescent="0.25">
      <c r="A398" s="42"/>
      <c r="B398" s="42"/>
      <c r="C398" s="42"/>
    </row>
    <row r="399" spans="1:3" x14ac:dyDescent="0.25">
      <c r="A399" s="42"/>
      <c r="B399" s="42"/>
      <c r="C399" s="42"/>
    </row>
    <row r="400" spans="1:3" x14ac:dyDescent="0.25">
      <c r="A400" s="42"/>
      <c r="B400" s="42"/>
      <c r="C400" s="42"/>
    </row>
    <row r="401" spans="1:3" x14ac:dyDescent="0.25">
      <c r="A401" s="42"/>
      <c r="B401" s="42"/>
      <c r="C401" s="42"/>
    </row>
    <row r="402" spans="1:3" x14ac:dyDescent="0.25">
      <c r="A402" s="42"/>
      <c r="B402" s="42"/>
      <c r="C402" s="42"/>
    </row>
    <row r="403" spans="1:3" x14ac:dyDescent="0.25">
      <c r="A403" s="42"/>
      <c r="B403" s="42"/>
      <c r="C403" s="42"/>
    </row>
    <row r="404" spans="1:3" x14ac:dyDescent="0.25">
      <c r="A404" s="42"/>
      <c r="B404" s="42"/>
      <c r="C404" s="42"/>
    </row>
    <row r="405" spans="1:3" x14ac:dyDescent="0.25">
      <c r="A405" s="42"/>
      <c r="B405" s="42"/>
      <c r="C405" s="42"/>
    </row>
    <row r="406" spans="1:3" x14ac:dyDescent="0.25">
      <c r="A406" s="42"/>
      <c r="B406" s="42"/>
      <c r="C406" s="42"/>
    </row>
    <row r="407" spans="1:3" x14ac:dyDescent="0.25">
      <c r="A407" s="42"/>
      <c r="B407" s="42"/>
      <c r="C407" s="42"/>
    </row>
    <row r="408" spans="1:3" x14ac:dyDescent="0.25">
      <c r="A408" s="42"/>
      <c r="B408" s="42"/>
      <c r="C408" s="42"/>
    </row>
    <row r="409" spans="1:3" x14ac:dyDescent="0.25">
      <c r="A409" s="42"/>
      <c r="B409" s="42"/>
      <c r="C409" s="42"/>
    </row>
    <row r="410" spans="1:3" x14ac:dyDescent="0.25">
      <c r="A410" s="42"/>
      <c r="B410" s="42"/>
      <c r="C410" s="42"/>
    </row>
    <row r="411" spans="1:3" x14ac:dyDescent="0.25">
      <c r="A411" s="42"/>
      <c r="B411" s="42"/>
      <c r="C411" s="42"/>
    </row>
    <row r="412" spans="1:3" x14ac:dyDescent="0.25">
      <c r="A412" s="42"/>
      <c r="B412" s="42"/>
      <c r="C412" s="42"/>
    </row>
    <row r="413" spans="1:3" x14ac:dyDescent="0.25">
      <c r="A413" s="42"/>
      <c r="B413" s="42"/>
      <c r="C413" s="42"/>
    </row>
    <row r="414" spans="1:3" x14ac:dyDescent="0.25">
      <c r="A414" s="42"/>
      <c r="B414" s="42"/>
      <c r="C414" s="42"/>
    </row>
    <row r="415" spans="1:3" x14ac:dyDescent="0.25">
      <c r="A415" s="42"/>
      <c r="B415" s="42"/>
      <c r="C415" s="42"/>
    </row>
    <row r="416" spans="1:3" x14ac:dyDescent="0.25">
      <c r="A416" s="42"/>
      <c r="B416" s="42"/>
      <c r="C416" s="42"/>
    </row>
    <row r="417" spans="1:3" x14ac:dyDescent="0.25">
      <c r="A417" s="42"/>
      <c r="B417" s="42"/>
      <c r="C417" s="42"/>
    </row>
    <row r="418" spans="1:3" x14ac:dyDescent="0.25">
      <c r="A418" s="42"/>
      <c r="B418" s="42"/>
      <c r="C418" s="42"/>
    </row>
    <row r="419" spans="1:3" x14ac:dyDescent="0.25">
      <c r="A419" s="42"/>
      <c r="B419" s="42"/>
      <c r="C419" s="42"/>
    </row>
    <row r="420" spans="1:3" x14ac:dyDescent="0.25">
      <c r="A420" s="42"/>
      <c r="B420" s="42"/>
      <c r="C420" s="42"/>
    </row>
    <row r="421" spans="1:3" x14ac:dyDescent="0.25">
      <c r="A421" s="42"/>
      <c r="B421" s="42"/>
      <c r="C421" s="42"/>
    </row>
    <row r="422" spans="1:3" x14ac:dyDescent="0.25">
      <c r="A422" s="42"/>
      <c r="B422" s="42"/>
      <c r="C422" s="42"/>
    </row>
    <row r="423" spans="1:3" x14ac:dyDescent="0.25">
      <c r="A423" s="42"/>
      <c r="B423" s="42"/>
      <c r="C423" s="42"/>
    </row>
    <row r="424" spans="1:3" x14ac:dyDescent="0.25">
      <c r="A424" s="42"/>
      <c r="B424" s="42"/>
      <c r="C424" s="42"/>
    </row>
    <row r="425" spans="1:3" x14ac:dyDescent="0.25">
      <c r="A425" s="42"/>
      <c r="B425" s="42"/>
      <c r="C425" s="42"/>
    </row>
    <row r="426" spans="1:3" x14ac:dyDescent="0.25">
      <c r="A426" s="42"/>
      <c r="B426" s="42"/>
      <c r="C426" s="42"/>
    </row>
    <row r="427" spans="1:3" x14ac:dyDescent="0.25">
      <c r="A427" s="42"/>
      <c r="B427" s="42"/>
      <c r="C427" s="42"/>
    </row>
    <row r="428" spans="1:3" x14ac:dyDescent="0.25">
      <c r="A428" s="42"/>
      <c r="B428" s="42"/>
      <c r="C428" s="42"/>
    </row>
    <row r="429" spans="1:3" x14ac:dyDescent="0.25">
      <c r="A429" s="42"/>
      <c r="B429" s="42"/>
      <c r="C429" s="42"/>
    </row>
    <row r="430" spans="1:3" x14ac:dyDescent="0.25">
      <c r="A430" s="42"/>
      <c r="B430" s="42"/>
      <c r="C430" s="42"/>
    </row>
    <row r="431" spans="1:3" x14ac:dyDescent="0.25">
      <c r="A431" s="42"/>
      <c r="B431" s="42"/>
      <c r="C431" s="42"/>
    </row>
    <row r="432" spans="1:3" x14ac:dyDescent="0.25">
      <c r="A432" s="42"/>
      <c r="B432" s="42"/>
      <c r="C432" s="42"/>
    </row>
    <row r="433" spans="1:3" x14ac:dyDescent="0.25">
      <c r="A433" s="42"/>
      <c r="B433" s="42"/>
      <c r="C433" s="42"/>
    </row>
    <row r="434" spans="1:3" x14ac:dyDescent="0.25">
      <c r="A434" s="42"/>
      <c r="B434" s="42"/>
      <c r="C434" s="42"/>
    </row>
    <row r="435" spans="1:3" x14ac:dyDescent="0.25">
      <c r="A435" s="42"/>
      <c r="B435" s="42"/>
      <c r="C435" s="42"/>
    </row>
    <row r="436" spans="1:3" x14ac:dyDescent="0.25">
      <c r="A436" s="42"/>
      <c r="B436" s="42"/>
      <c r="C436" s="42"/>
    </row>
    <row r="437" spans="1:3" x14ac:dyDescent="0.25">
      <c r="A437" s="42"/>
      <c r="B437" s="42"/>
      <c r="C437" s="42"/>
    </row>
    <row r="438" spans="1:3" x14ac:dyDescent="0.25">
      <c r="A438" s="42"/>
      <c r="B438" s="42"/>
      <c r="C438" s="42"/>
    </row>
    <row r="439" spans="1:3" x14ac:dyDescent="0.25">
      <c r="A439" s="42"/>
      <c r="B439" s="42"/>
      <c r="C439" s="42"/>
    </row>
    <row r="440" spans="1:3" x14ac:dyDescent="0.25">
      <c r="A440" s="42"/>
      <c r="B440" s="42"/>
      <c r="C440" s="42"/>
    </row>
    <row r="441" spans="1:3" x14ac:dyDescent="0.25">
      <c r="A441" s="42"/>
      <c r="B441" s="42"/>
      <c r="C441" s="42"/>
    </row>
    <row r="442" spans="1:3" x14ac:dyDescent="0.25">
      <c r="A442" s="42"/>
      <c r="B442" s="42"/>
      <c r="C442" s="42"/>
    </row>
    <row r="443" spans="1:3" x14ac:dyDescent="0.25">
      <c r="A443" s="42"/>
      <c r="B443" s="42"/>
      <c r="C443" s="42"/>
    </row>
    <row r="444" spans="1:3" x14ac:dyDescent="0.25">
      <c r="A444" s="42"/>
      <c r="B444" s="42"/>
      <c r="C444" s="42"/>
    </row>
    <row r="445" spans="1:3" x14ac:dyDescent="0.25">
      <c r="A445" s="42"/>
      <c r="B445" s="42"/>
      <c r="C445" s="42"/>
    </row>
    <row r="446" spans="1:3" x14ac:dyDescent="0.25">
      <c r="A446" s="42"/>
      <c r="B446" s="42"/>
      <c r="C446" s="42"/>
    </row>
    <row r="447" spans="1:3" x14ac:dyDescent="0.25">
      <c r="A447" s="42"/>
      <c r="B447" s="42"/>
      <c r="C447" s="42"/>
    </row>
    <row r="448" spans="1:3" x14ac:dyDescent="0.25">
      <c r="A448" s="42"/>
      <c r="B448" s="42"/>
      <c r="C448" s="42"/>
    </row>
    <row r="449" spans="1:3" x14ac:dyDescent="0.25">
      <c r="A449" s="42"/>
      <c r="B449" s="42"/>
      <c r="C449" s="42"/>
    </row>
    <row r="450" spans="1:3" x14ac:dyDescent="0.25">
      <c r="A450" s="42"/>
      <c r="B450" s="42"/>
      <c r="C450" s="42"/>
    </row>
    <row r="451" spans="1:3" x14ac:dyDescent="0.25">
      <c r="A451" s="42"/>
      <c r="B451" s="42"/>
      <c r="C451" s="42"/>
    </row>
    <row r="452" spans="1:3" x14ac:dyDescent="0.25">
      <c r="A452" s="42"/>
      <c r="B452" s="42"/>
      <c r="C452" s="42"/>
    </row>
    <row r="453" spans="1:3" x14ac:dyDescent="0.25">
      <c r="A453" s="42"/>
      <c r="B453" s="42"/>
      <c r="C453" s="42"/>
    </row>
    <row r="454" spans="1:3" x14ac:dyDescent="0.25">
      <c r="A454" s="42"/>
      <c r="B454" s="42"/>
      <c r="C454" s="42"/>
    </row>
    <row r="455" spans="1:3" x14ac:dyDescent="0.25">
      <c r="A455" s="42"/>
      <c r="B455" s="42"/>
      <c r="C455" s="42"/>
    </row>
    <row r="456" spans="1:3" x14ac:dyDescent="0.25">
      <c r="A456" s="42"/>
      <c r="B456" s="42"/>
      <c r="C456" s="42"/>
    </row>
    <row r="457" spans="1:3" x14ac:dyDescent="0.25">
      <c r="A457" s="42"/>
      <c r="B457" s="42"/>
      <c r="C457" s="42"/>
    </row>
    <row r="458" spans="1:3" x14ac:dyDescent="0.25">
      <c r="A458" s="42"/>
      <c r="B458" s="42"/>
      <c r="C458" s="42"/>
    </row>
    <row r="459" spans="1:3" x14ac:dyDescent="0.25">
      <c r="A459" s="42"/>
      <c r="B459" s="42"/>
      <c r="C459" s="42"/>
    </row>
    <row r="460" spans="1:3" x14ac:dyDescent="0.25">
      <c r="A460" s="42"/>
      <c r="B460" s="42"/>
      <c r="C460" s="42"/>
    </row>
    <row r="461" spans="1:3" x14ac:dyDescent="0.25">
      <c r="A461" s="42"/>
      <c r="B461" s="42"/>
      <c r="C461" s="42"/>
    </row>
    <row r="462" spans="1:3" x14ac:dyDescent="0.25">
      <c r="A462" s="42"/>
      <c r="B462" s="42"/>
      <c r="C462" s="42"/>
    </row>
    <row r="463" spans="1:3" x14ac:dyDescent="0.25">
      <c r="A463" s="42"/>
      <c r="B463" s="42"/>
      <c r="C463" s="42"/>
    </row>
    <row r="464" spans="1:3" x14ac:dyDescent="0.25">
      <c r="A464" s="42"/>
      <c r="B464" s="42"/>
      <c r="C464" s="42"/>
    </row>
    <row r="465" spans="1:3" x14ac:dyDescent="0.25">
      <c r="A465" s="42"/>
      <c r="B465" s="42"/>
      <c r="C465" s="42"/>
    </row>
    <row r="466" spans="1:3" x14ac:dyDescent="0.25">
      <c r="A466" s="42"/>
      <c r="B466" s="42"/>
      <c r="C466" s="42"/>
    </row>
    <row r="467" spans="1:3" x14ac:dyDescent="0.25">
      <c r="A467" s="42"/>
      <c r="B467" s="42"/>
      <c r="C467" s="42"/>
    </row>
    <row r="468" spans="1:3" x14ac:dyDescent="0.25">
      <c r="A468" s="42"/>
      <c r="B468" s="42"/>
      <c r="C468" s="42"/>
    </row>
    <row r="469" spans="1:3" x14ac:dyDescent="0.25">
      <c r="A469" s="42"/>
      <c r="B469" s="42"/>
      <c r="C469" s="42"/>
    </row>
    <row r="470" spans="1:3" x14ac:dyDescent="0.25">
      <c r="A470" s="42"/>
      <c r="B470" s="42"/>
      <c r="C470" s="42"/>
    </row>
    <row r="471" spans="1:3" x14ac:dyDescent="0.25">
      <c r="A471" s="42"/>
      <c r="B471" s="42"/>
      <c r="C471" s="42"/>
    </row>
    <row r="472" spans="1:3" x14ac:dyDescent="0.25">
      <c r="A472" s="42"/>
      <c r="B472" s="42"/>
      <c r="C472" s="42"/>
    </row>
    <row r="473" spans="1:3" x14ac:dyDescent="0.25">
      <c r="A473" s="42"/>
      <c r="B473" s="42"/>
      <c r="C473" s="42"/>
    </row>
    <row r="474" spans="1:3" x14ac:dyDescent="0.25">
      <c r="A474" s="42"/>
      <c r="B474" s="42"/>
      <c r="C474" s="42"/>
    </row>
    <row r="475" spans="1:3" x14ac:dyDescent="0.25">
      <c r="A475" s="42"/>
      <c r="B475" s="42"/>
      <c r="C475" s="42"/>
    </row>
    <row r="476" spans="1:3" x14ac:dyDescent="0.25">
      <c r="A476" s="42"/>
      <c r="B476" s="42"/>
      <c r="C476" s="42"/>
    </row>
    <row r="477" spans="1:3" x14ac:dyDescent="0.25">
      <c r="A477" s="42"/>
      <c r="B477" s="42"/>
      <c r="C477" s="42"/>
    </row>
    <row r="478" spans="1:3" x14ac:dyDescent="0.25">
      <c r="A478" s="42"/>
      <c r="B478" s="42"/>
      <c r="C478" s="42"/>
    </row>
    <row r="479" spans="1:3" x14ac:dyDescent="0.25">
      <c r="A479" s="42"/>
      <c r="B479" s="42"/>
      <c r="C479" s="42"/>
    </row>
    <row r="480" spans="1:3" x14ac:dyDescent="0.25">
      <c r="A480" s="42"/>
      <c r="B480" s="42"/>
      <c r="C480" s="42"/>
    </row>
    <row r="481" spans="1:3" x14ac:dyDescent="0.25">
      <c r="A481" s="42"/>
      <c r="B481" s="42"/>
      <c r="C481" s="42"/>
    </row>
    <row r="482" spans="1:3" x14ac:dyDescent="0.25">
      <c r="A482" s="42"/>
      <c r="B482" s="42"/>
      <c r="C482" s="42"/>
    </row>
    <row r="483" spans="1:3" x14ac:dyDescent="0.25">
      <c r="A483" s="42"/>
      <c r="B483" s="42"/>
      <c r="C483" s="42"/>
    </row>
    <row r="484" spans="1:3" x14ac:dyDescent="0.25">
      <c r="A484" s="42"/>
      <c r="B484" s="42"/>
      <c r="C484" s="42"/>
    </row>
    <row r="485" spans="1:3" x14ac:dyDescent="0.25">
      <c r="A485" s="42"/>
      <c r="B485" s="42"/>
      <c r="C485" s="42"/>
    </row>
    <row r="486" spans="1:3" x14ac:dyDescent="0.25">
      <c r="A486" s="42"/>
      <c r="B486" s="42"/>
      <c r="C486" s="42"/>
    </row>
    <row r="487" spans="1:3" x14ac:dyDescent="0.25">
      <c r="A487" s="42"/>
      <c r="B487" s="42"/>
      <c r="C487" s="42"/>
    </row>
    <row r="488" spans="1:3" x14ac:dyDescent="0.25">
      <c r="A488" s="42"/>
      <c r="B488" s="42"/>
      <c r="C488" s="42"/>
    </row>
    <row r="489" spans="1:3" x14ac:dyDescent="0.25">
      <c r="A489" s="42"/>
      <c r="B489" s="42"/>
      <c r="C489" s="42"/>
    </row>
    <row r="490" spans="1:3" x14ac:dyDescent="0.25">
      <c r="A490" s="42"/>
      <c r="B490" s="42"/>
      <c r="C490" s="42"/>
    </row>
    <row r="491" spans="1:3" x14ac:dyDescent="0.25">
      <c r="A491" s="42"/>
      <c r="B491" s="42"/>
      <c r="C491" s="42"/>
    </row>
    <row r="492" spans="1:3" x14ac:dyDescent="0.25">
      <c r="A492" s="42"/>
      <c r="B492" s="42"/>
      <c r="C492" s="42"/>
    </row>
    <row r="493" spans="1:3" x14ac:dyDescent="0.25">
      <c r="A493" s="42"/>
      <c r="B493" s="42"/>
      <c r="C493" s="42"/>
    </row>
    <row r="494" spans="1:3" x14ac:dyDescent="0.25">
      <c r="A494" s="42"/>
      <c r="B494" s="42"/>
      <c r="C494" s="42"/>
    </row>
    <row r="495" spans="1:3" x14ac:dyDescent="0.25">
      <c r="A495" s="42"/>
      <c r="B495" s="42"/>
      <c r="C495" s="42"/>
    </row>
    <row r="496" spans="1:3" x14ac:dyDescent="0.25">
      <c r="A496" s="42"/>
      <c r="B496" s="42"/>
      <c r="C496" s="42"/>
    </row>
    <row r="497" spans="1:3" x14ac:dyDescent="0.25">
      <c r="A497" s="42"/>
      <c r="B497" s="42"/>
      <c r="C497" s="42"/>
    </row>
    <row r="498" spans="1:3" x14ac:dyDescent="0.25">
      <c r="A498" s="42"/>
      <c r="B498" s="42"/>
      <c r="C498" s="42"/>
    </row>
    <row r="499" spans="1:3" x14ac:dyDescent="0.25">
      <c r="A499" s="42"/>
      <c r="B499" s="42"/>
      <c r="C499" s="42"/>
    </row>
    <row r="500" spans="1:3" x14ac:dyDescent="0.25">
      <c r="A500" s="42"/>
      <c r="B500" s="42"/>
      <c r="C500" s="42"/>
    </row>
    <row r="501" spans="1:3" x14ac:dyDescent="0.25">
      <c r="A501" s="42"/>
      <c r="B501" s="42"/>
      <c r="C501" s="42"/>
    </row>
    <row r="502" spans="1:3" x14ac:dyDescent="0.25">
      <c r="A502" s="42"/>
      <c r="B502" s="42"/>
      <c r="C502" s="42"/>
    </row>
    <row r="503" spans="1:3" x14ac:dyDescent="0.25">
      <c r="A503" s="42"/>
      <c r="B503" s="42"/>
      <c r="C503" s="42"/>
    </row>
    <row r="504" spans="1:3" x14ac:dyDescent="0.25">
      <c r="A504" s="42"/>
      <c r="B504" s="42"/>
      <c r="C504" s="42"/>
    </row>
    <row r="505" spans="1:3" x14ac:dyDescent="0.25">
      <c r="A505" s="42"/>
      <c r="B505" s="42"/>
      <c r="C505" s="42"/>
    </row>
    <row r="506" spans="1:3" x14ac:dyDescent="0.25">
      <c r="A506" s="42"/>
      <c r="B506" s="42"/>
      <c r="C506" s="42"/>
    </row>
    <row r="507" spans="1:3" x14ac:dyDescent="0.25">
      <c r="A507" s="42"/>
      <c r="B507" s="42"/>
      <c r="C507" s="42"/>
    </row>
    <row r="508" spans="1:3" x14ac:dyDescent="0.25">
      <c r="A508" s="42"/>
      <c r="B508" s="42"/>
      <c r="C508" s="42"/>
    </row>
    <row r="509" spans="1:3" x14ac:dyDescent="0.25">
      <c r="A509" s="42"/>
      <c r="B509" s="42"/>
      <c r="C509" s="42"/>
    </row>
    <row r="510" spans="1:3" x14ac:dyDescent="0.25">
      <c r="A510" s="42"/>
      <c r="B510" s="42"/>
      <c r="C510" s="42"/>
    </row>
    <row r="511" spans="1:3" x14ac:dyDescent="0.25">
      <c r="A511" s="42"/>
      <c r="B511" s="42"/>
      <c r="C511" s="42"/>
    </row>
    <row r="512" spans="1:3" x14ac:dyDescent="0.25">
      <c r="A512" s="42"/>
      <c r="B512" s="42"/>
      <c r="C512" s="42"/>
    </row>
    <row r="513" spans="1:3" x14ac:dyDescent="0.25">
      <c r="A513" s="42"/>
      <c r="B513" s="42"/>
      <c r="C513" s="42"/>
    </row>
    <row r="514" spans="1:3" x14ac:dyDescent="0.25">
      <c r="A514" s="42"/>
      <c r="B514" s="42"/>
      <c r="C514" s="42"/>
    </row>
    <row r="515" spans="1:3" x14ac:dyDescent="0.25">
      <c r="A515" s="42"/>
      <c r="B515" s="42"/>
      <c r="C515" s="42"/>
    </row>
    <row r="516" spans="1:3" x14ac:dyDescent="0.25">
      <c r="A516" s="42"/>
      <c r="B516" s="42"/>
      <c r="C516" s="42"/>
    </row>
    <row r="517" spans="1:3" x14ac:dyDescent="0.25">
      <c r="A517" s="42"/>
      <c r="B517" s="42"/>
      <c r="C517" s="42"/>
    </row>
    <row r="518" spans="1:3" x14ac:dyDescent="0.25">
      <c r="A518" s="42"/>
      <c r="B518" s="42"/>
      <c r="C518" s="42"/>
    </row>
    <row r="519" spans="1:3" x14ac:dyDescent="0.25">
      <c r="A519" s="42"/>
      <c r="B519" s="42"/>
      <c r="C519" s="42"/>
    </row>
    <row r="520" spans="1:3" x14ac:dyDescent="0.25">
      <c r="A520" s="42"/>
      <c r="B520" s="42"/>
      <c r="C520" s="42"/>
    </row>
    <row r="521" spans="1:3" x14ac:dyDescent="0.25">
      <c r="A521" s="42"/>
      <c r="B521" s="42"/>
      <c r="C521" s="42"/>
    </row>
    <row r="522" spans="1:3" x14ac:dyDescent="0.25">
      <c r="A522" s="42"/>
      <c r="B522" s="42"/>
      <c r="C522" s="42"/>
    </row>
    <row r="523" spans="1:3" x14ac:dyDescent="0.25">
      <c r="A523" s="42"/>
      <c r="B523" s="42"/>
      <c r="C523" s="42"/>
    </row>
    <row r="524" spans="1:3" x14ac:dyDescent="0.25">
      <c r="A524" s="42"/>
      <c r="B524" s="42"/>
      <c r="C524" s="42"/>
    </row>
    <row r="525" spans="1:3" x14ac:dyDescent="0.25">
      <c r="A525" s="42"/>
      <c r="B525" s="42"/>
      <c r="C525" s="42"/>
    </row>
    <row r="526" spans="1:3" x14ac:dyDescent="0.25">
      <c r="A526" s="42"/>
      <c r="B526" s="42"/>
      <c r="C526" s="42"/>
    </row>
    <row r="527" spans="1:3" x14ac:dyDescent="0.25">
      <c r="A527" s="42"/>
      <c r="B527" s="42"/>
      <c r="C527" s="42"/>
    </row>
    <row r="528" spans="1:3" x14ac:dyDescent="0.25">
      <c r="A528" s="42"/>
      <c r="B528" s="42"/>
      <c r="C528" s="42"/>
    </row>
    <row r="529" spans="1:3" x14ac:dyDescent="0.25">
      <c r="A529" s="42"/>
      <c r="B529" s="42"/>
      <c r="C529" s="42"/>
    </row>
    <row r="530" spans="1:3" x14ac:dyDescent="0.25">
      <c r="A530" s="42"/>
      <c r="B530" s="42"/>
      <c r="C530" s="42"/>
    </row>
  </sheetData>
  <mergeCells count="8">
    <mergeCell ref="H2:Q2"/>
    <mergeCell ref="R2:R3"/>
    <mergeCell ref="A2:A3"/>
    <mergeCell ref="B2:B3"/>
    <mergeCell ref="C2:C3"/>
    <mergeCell ref="D2:E2"/>
    <mergeCell ref="F2:F3"/>
    <mergeCell ref="G2:G3"/>
  </mergeCells>
  <phoneticPr fontId="8" type="noConversion"/>
  <conditionalFormatting sqref="A1:A3 A5:A6 A226:A228 A20:A55 A57 A64:A69 A191:A192 A243:A244 A254 A197:A223 A246 A249:A251 A531:A1048576 A186:A189 A132 A130 A124 A155:A163 A59:A62 A194:A195 A169:A184 A84:A121">
    <cfRule type="cellIs" dxfId="50" priority="62" operator="equal">
      <formula>"CommonCase"</formula>
    </cfRule>
  </conditionalFormatting>
  <conditionalFormatting sqref="A4">
    <cfRule type="cellIs" dxfId="49" priority="61" operator="equal">
      <formula>"CommonCase"</formula>
    </cfRule>
  </conditionalFormatting>
  <conditionalFormatting sqref="A7 A16 A18:A19">
    <cfRule type="cellIs" dxfId="48" priority="60" operator="equal">
      <formula>"CommonCase"</formula>
    </cfRule>
  </conditionalFormatting>
  <conditionalFormatting sqref="A225">
    <cfRule type="cellIs" dxfId="47" priority="59" operator="equal">
      <formula>"CommonCase"</formula>
    </cfRule>
  </conditionalFormatting>
  <conditionalFormatting sqref="A231:A232 A242">
    <cfRule type="cellIs" dxfId="46" priority="57" operator="equal">
      <formula>"CommonCase"</formula>
    </cfRule>
  </conditionalFormatting>
  <conditionalFormatting sqref="A230">
    <cfRule type="cellIs" dxfId="45" priority="56" operator="equal">
      <formula>"CommonCase"</formula>
    </cfRule>
  </conditionalFormatting>
  <conditionalFormatting sqref="A233">
    <cfRule type="cellIs" dxfId="44" priority="55" operator="equal">
      <formula>"CommonCase"</formula>
    </cfRule>
  </conditionalFormatting>
  <conditionalFormatting sqref="A235:A238 A240:A241">
    <cfRule type="cellIs" dxfId="43" priority="54" operator="equal">
      <formula>"CommonCase"</formula>
    </cfRule>
  </conditionalFormatting>
  <conditionalFormatting sqref="A15">
    <cfRule type="cellIs" dxfId="42" priority="53" operator="equal">
      <formula>"CommonCase"</formula>
    </cfRule>
  </conditionalFormatting>
  <conditionalFormatting sqref="A56">
    <cfRule type="cellIs" dxfId="41" priority="52" operator="equal">
      <formula>"CommonCase"</formula>
    </cfRule>
  </conditionalFormatting>
  <conditionalFormatting sqref="A63">
    <cfRule type="cellIs" dxfId="40" priority="51" operator="equal">
      <formula>"CommonCase"</formula>
    </cfRule>
  </conditionalFormatting>
  <conditionalFormatting sqref="A71 A78:A83 A133 A142 A73:A76">
    <cfRule type="cellIs" dxfId="39" priority="50" operator="equal">
      <formula>"CommonCase"</formula>
    </cfRule>
  </conditionalFormatting>
  <conditionalFormatting sqref="A70">
    <cfRule type="cellIs" dxfId="38" priority="49" operator="equal">
      <formula>"CommonCase"</formula>
    </cfRule>
  </conditionalFormatting>
  <conditionalFormatting sqref="A77">
    <cfRule type="cellIs" dxfId="37" priority="48" operator="equal">
      <formula>"CommonCase"</formula>
    </cfRule>
  </conditionalFormatting>
  <conditionalFormatting sqref="A252:A253">
    <cfRule type="cellIs" dxfId="36" priority="47" operator="equal">
      <formula>"CommonCase"</formula>
    </cfRule>
  </conditionalFormatting>
  <conditionalFormatting sqref="A224">
    <cfRule type="cellIs" dxfId="35" priority="46" operator="equal">
      <formula>"CommonCase"</formula>
    </cfRule>
  </conditionalFormatting>
  <conditionalFormatting sqref="A234">
    <cfRule type="cellIs" dxfId="34" priority="45" operator="equal">
      <formula>"CommonCase"</formula>
    </cfRule>
  </conditionalFormatting>
  <conditionalFormatting sqref="A239">
    <cfRule type="cellIs" dxfId="33" priority="44" operator="equal">
      <formula>"CommonCase"</formula>
    </cfRule>
  </conditionalFormatting>
  <conditionalFormatting sqref="A229">
    <cfRule type="cellIs" dxfId="32" priority="43" operator="equal">
      <formula>"CommonCase"</formula>
    </cfRule>
  </conditionalFormatting>
  <conditionalFormatting sqref="A245">
    <cfRule type="cellIs" dxfId="31" priority="42" operator="equal">
      <formula>"CommonCase"</formula>
    </cfRule>
  </conditionalFormatting>
  <conditionalFormatting sqref="A247:A248">
    <cfRule type="cellIs" dxfId="30" priority="41" operator="equal">
      <formula>"CommonCase"</formula>
    </cfRule>
  </conditionalFormatting>
  <conditionalFormatting sqref="A286">
    <cfRule type="cellIs" dxfId="29" priority="38" operator="equal">
      <formula>"CommonCase"</formula>
    </cfRule>
  </conditionalFormatting>
  <conditionalFormatting sqref="A302">
    <cfRule type="cellIs" dxfId="28" priority="37" operator="equal">
      <formula>"CommonCase"</formula>
    </cfRule>
  </conditionalFormatting>
  <conditionalFormatting sqref="A125:A129">
    <cfRule type="cellIs" dxfId="27" priority="36" operator="equal">
      <formula>"CommonCase"</formula>
    </cfRule>
  </conditionalFormatting>
  <conditionalFormatting sqref="A143:A148 A150:A154">
    <cfRule type="cellIs" dxfId="26" priority="34" operator="equal">
      <formula>"CommonCase"</formula>
    </cfRule>
  </conditionalFormatting>
  <conditionalFormatting sqref="A134:A139">
    <cfRule type="cellIs" dxfId="25" priority="35" operator="equal">
      <formula>"CommonCase"</formula>
    </cfRule>
  </conditionalFormatting>
  <conditionalFormatting sqref="A185">
    <cfRule type="cellIs" dxfId="24" priority="31" operator="equal">
      <formula>"CommonCase"</formula>
    </cfRule>
  </conditionalFormatting>
  <conditionalFormatting sqref="A190">
    <cfRule type="cellIs" dxfId="23" priority="30" operator="equal">
      <formula>"CommonCase"</formula>
    </cfRule>
  </conditionalFormatting>
  <conditionalFormatting sqref="A256:A259 A261:A264">
    <cfRule type="cellIs" dxfId="22" priority="29" operator="equal">
      <formula>"CommonCase"</formula>
    </cfRule>
  </conditionalFormatting>
  <conditionalFormatting sqref="A131">
    <cfRule type="cellIs" dxfId="21" priority="27" operator="equal">
      <formula>"CommonCase"</formula>
    </cfRule>
  </conditionalFormatting>
  <conditionalFormatting sqref="A123">
    <cfRule type="cellIs" dxfId="20" priority="23" operator="equal">
      <formula>"CommonCase"</formula>
    </cfRule>
  </conditionalFormatting>
  <conditionalFormatting sqref="A149">
    <cfRule type="cellIs" dxfId="19" priority="26" operator="equal">
      <formula>"CommonCase"</formula>
    </cfRule>
  </conditionalFormatting>
  <conditionalFormatting sqref="A141">
    <cfRule type="cellIs" dxfId="18" priority="25" operator="equal">
      <formula>"CommonCase"</formula>
    </cfRule>
  </conditionalFormatting>
  <conditionalFormatting sqref="A140">
    <cfRule type="cellIs" dxfId="17" priority="24" operator="equal">
      <formula>"CommonCase"</formula>
    </cfRule>
  </conditionalFormatting>
  <conditionalFormatting sqref="A122">
    <cfRule type="cellIs" dxfId="16" priority="22" operator="equal">
      <formula>"CommonCase"</formula>
    </cfRule>
  </conditionalFormatting>
  <conditionalFormatting sqref="A17">
    <cfRule type="cellIs" dxfId="15" priority="18" operator="equal">
      <formula>"CommonCase"</formula>
    </cfRule>
  </conditionalFormatting>
  <conditionalFormatting sqref="A58">
    <cfRule type="cellIs" dxfId="14" priority="17" operator="equal">
      <formula>"CommonCase"</formula>
    </cfRule>
  </conditionalFormatting>
  <conditionalFormatting sqref="A72">
    <cfRule type="cellIs" dxfId="13" priority="16" operator="equal">
      <formula>"CommonCase"</formula>
    </cfRule>
  </conditionalFormatting>
  <conditionalFormatting sqref="A299">
    <cfRule type="cellIs" dxfId="12" priority="15" operator="equal">
      <formula>"CommonCase"</formula>
    </cfRule>
  </conditionalFormatting>
  <conditionalFormatting sqref="A193">
    <cfRule type="cellIs" dxfId="11" priority="14" operator="equal">
      <formula>"CommonCase"</formula>
    </cfRule>
  </conditionalFormatting>
  <conditionalFormatting sqref="A164:A167">
    <cfRule type="cellIs" dxfId="10" priority="13" operator="equal">
      <formula>"CommonCase"</formula>
    </cfRule>
  </conditionalFormatting>
  <conditionalFormatting sqref="A168">
    <cfRule type="cellIs" dxfId="9" priority="12" operator="equal">
      <formula>"CommonCase"</formula>
    </cfRule>
  </conditionalFormatting>
  <conditionalFormatting sqref="A12:A14">
    <cfRule type="cellIs" dxfId="8" priority="11" operator="equal">
      <formula>"CommonCase"</formula>
    </cfRule>
  </conditionalFormatting>
  <conditionalFormatting sqref="A8 A10:A11">
    <cfRule type="cellIs" dxfId="7" priority="10" operator="equal">
      <formula>"CommonCase"</formula>
    </cfRule>
  </conditionalFormatting>
  <conditionalFormatting sqref="A9">
    <cfRule type="cellIs" dxfId="6" priority="9" operator="equal">
      <formula>"CommonCase"</formula>
    </cfRule>
  </conditionalFormatting>
  <conditionalFormatting sqref="A271">
    <cfRule type="cellIs" dxfId="5" priority="7" operator="equal">
      <formula>"CommonCase"</formula>
    </cfRule>
  </conditionalFormatting>
  <conditionalFormatting sqref="A317">
    <cfRule type="cellIs" dxfId="4" priority="2" operator="equal">
      <formula>"CommonCase"</formula>
    </cfRule>
  </conditionalFormatting>
  <conditionalFormatting sqref="A311">
    <cfRule type="cellIs" dxfId="3" priority="5" operator="equal">
      <formula>"CommonCase"</formula>
    </cfRule>
  </conditionalFormatting>
  <conditionalFormatting sqref="A309:A310">
    <cfRule type="cellIs" dxfId="2" priority="4" operator="equal">
      <formula>"CommonCase"</formula>
    </cfRule>
  </conditionalFormatting>
  <conditionalFormatting sqref="A314">
    <cfRule type="cellIs" dxfId="1" priority="3" operator="equal">
      <formula>"CommonCase"</formula>
    </cfRule>
  </conditionalFormatting>
  <conditionalFormatting sqref="A330">
    <cfRule type="cellIs" dxfId="0" priority="1" operator="equal">
      <formula>"CommonCase"</formula>
    </cfRule>
  </conditionalFormatting>
  <dataValidations count="4">
    <dataValidation type="list" allowBlank="1" showInputMessage="1" showErrorMessage="1" sqref="F1">
      <formula1>"'true,'false"</formula1>
    </dataValidation>
    <dataValidation errorStyle="information" allowBlank="1" showInputMessage="1" sqref="A1:A3"/>
    <dataValidation type="list" allowBlank="1" showInputMessage="1" showErrorMessage="1" sqref="H1:J1">
      <formula1>"无,IE11_32bit,IE11_64bit,IE9,Firefox_v61,Chrome_v59-61,Chrome_v60-62,Chrome_v61-63,Chrome_v62-64,Chrome_v63-65,Chrome_v66-68"</formula1>
    </dataValidation>
    <dataValidation type="list" errorStyle="information" allowBlank="1" showInputMessage="1" sqref="A197:A259 A4:A195 A261:A1048576">
      <formula1>"CommonCase"</formula1>
    </dataValidation>
  </dataValidations>
  <hyperlinks>
    <hyperlink ref="H4" r:id="rId1" display="http://10.16.73.230:8082/login"/>
    <hyperlink ref="H15" r:id="rId2" display="http://10.16.73.230:8082/index"/>
    <hyperlink ref="H56" r:id="rId3" display="http://10.16.73.230:8082/index"/>
    <hyperlink ref="H70" r:id="rId4" display="http://10.16.73.230:8082/index"/>
    <hyperlink ref="H191" r:id="rId5" display="http://10.16.73.230:8082/index"/>
    <hyperlink ref="H100" r:id="rId6" display="http://10.16.73.230:8082/index"/>
    <hyperlink ref="H286" r:id="rId7" display="http://10.16.73.230:8082/index"/>
    <hyperlink ref="H84" r:id="rId8" display="http://10.16.73.230:8082/index"/>
    <hyperlink ref="H185" r:id="rId9" display="http://10.16.73.230:8082/index"/>
    <hyperlink ref="H256" r:id="rId10" display="http://10.16.73.230:8082/index"/>
    <hyperlink ref="H155" r:id="rId11" display="http://10.16.73.230:8082/index"/>
    <hyperlink ref="H163" r:id="rId12"/>
    <hyperlink ref="H271" r:id="rId13" display="http://10.16.73.230:8082/index"/>
    <hyperlink ref="H317" r:id="rId14" display="http://10.16.73.230:8082/index"/>
  </hyperlinks>
  <pageMargins left="0.7" right="0.7" top="0.75" bottom="0.75" header="0.3" footer="0.3"/>
  <pageSetup paperSize="9" orientation="portrait" r:id="rId15"/>
  <drawing r:id="rId16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showErrorMessage="1">
          <x14:formula1>
            <xm:f>Actions!$D:$D</xm:f>
          </x14:formula1>
          <xm:sqref>E245:E247 E249:E300 E27:E100 E102:E161 E210:E243 E302:E304 E1:E25 E163:E208 E306:E313 E315:E1048576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总表</vt:lpstr>
      <vt:lpstr>Actions</vt:lpstr>
      <vt:lpstr>PageObjects</vt:lpstr>
      <vt:lpstr>Examples</vt:lpstr>
      <vt:lpstr>CommonCase</vt:lpstr>
      <vt:lpstr>TestDemo1</vt:lpstr>
      <vt:lpstr>test</vt:lpstr>
      <vt:lpstr>GPM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梁海玲</dc:creator>
  <cp:lastModifiedBy>Midea</cp:lastModifiedBy>
  <dcterms:created xsi:type="dcterms:W3CDTF">2006-09-16T00:00:00Z</dcterms:created>
  <dcterms:modified xsi:type="dcterms:W3CDTF">2021-08-25T09:47:24Z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2052-10.1.0.6929</vt:lpwstr>
  </property>
</Properties>
</file>